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ugmac2022/Downloads/"/>
    </mc:Choice>
  </mc:AlternateContent>
  <xr:revisionPtr revIDLastSave="0" documentId="11_DA2F7A90D4A8C112398B83B0069EFDC79154EB50" xr6:coauthVersionLast="47" xr6:coauthVersionMax="47" xr10:uidLastSave="{00000000-0000-0000-0000-000000000000}"/>
  <bookViews>
    <workbookView xWindow="0" yWindow="0" windowWidth="33600" windowHeight="21000" tabRatio="500" activeTab="3" xr2:uid="{00000000-000D-0000-FFFF-FFFF00000000}"/>
  </bookViews>
  <sheets>
    <sheet name="ตารางหลัก" sheetId="1" r:id="rId1"/>
    <sheet name="ตารางรายทีม" sheetId="2" r:id="rId2"/>
    <sheet name="ใบคุมประจำฐาน" sheetId="3" r:id="rId3"/>
    <sheet name="ข้อมูลดิบ" sheetId="4" r:id="rId4"/>
    <sheet name="ตรวจสอบเงื่อนไข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5" l="1"/>
  <c r="S20" i="5"/>
  <c r="R20" i="5"/>
  <c r="Q20" i="5"/>
  <c r="P20" i="5"/>
  <c r="O20" i="5"/>
  <c r="N20" i="5"/>
  <c r="M20" i="5"/>
  <c r="L20" i="5"/>
  <c r="I20" i="5"/>
  <c r="H20" i="5"/>
  <c r="G20" i="5"/>
  <c r="F20" i="5"/>
  <c r="E20" i="5"/>
  <c r="D20" i="5"/>
  <c r="C20" i="5"/>
  <c r="B20" i="5"/>
  <c r="S19" i="5"/>
  <c r="R19" i="5"/>
  <c r="Q19" i="5"/>
  <c r="P19" i="5"/>
  <c r="O19" i="5"/>
  <c r="N19" i="5"/>
  <c r="M19" i="5"/>
  <c r="L19" i="5"/>
  <c r="I19" i="5"/>
  <c r="H19" i="5"/>
  <c r="G19" i="5"/>
  <c r="F19" i="5"/>
  <c r="E19" i="5"/>
  <c r="D19" i="5"/>
  <c r="C19" i="5"/>
  <c r="B19" i="5"/>
  <c r="S18" i="5"/>
  <c r="R18" i="5"/>
  <c r="Q18" i="5"/>
  <c r="P18" i="5"/>
  <c r="O18" i="5"/>
  <c r="N18" i="5"/>
  <c r="M18" i="5"/>
  <c r="L18" i="5"/>
  <c r="I18" i="5"/>
  <c r="H18" i="5"/>
  <c r="G18" i="5"/>
  <c r="F18" i="5"/>
  <c r="E18" i="5"/>
  <c r="D18" i="5"/>
  <c r="C18" i="5"/>
  <c r="B18" i="5"/>
  <c r="S17" i="5"/>
  <c r="R17" i="5"/>
  <c r="Q17" i="5"/>
  <c r="P17" i="5"/>
  <c r="O17" i="5"/>
  <c r="N17" i="5"/>
  <c r="M17" i="5"/>
  <c r="L17" i="5"/>
  <c r="I17" i="5"/>
  <c r="H17" i="5"/>
  <c r="G17" i="5"/>
  <c r="F17" i="5"/>
  <c r="E17" i="5"/>
  <c r="D17" i="5"/>
  <c r="C17" i="5"/>
  <c r="B17" i="5"/>
  <c r="S16" i="5"/>
  <c r="R16" i="5"/>
  <c r="Q16" i="5"/>
  <c r="P16" i="5"/>
  <c r="O16" i="5"/>
  <c r="N16" i="5"/>
  <c r="M16" i="5"/>
  <c r="L16" i="5"/>
  <c r="I16" i="5"/>
  <c r="H16" i="5"/>
  <c r="G16" i="5"/>
  <c r="F16" i="5"/>
  <c r="E16" i="5"/>
  <c r="D16" i="5"/>
  <c r="C16" i="5"/>
  <c r="B16" i="5"/>
  <c r="S15" i="5"/>
  <c r="R15" i="5"/>
  <c r="Q15" i="5"/>
  <c r="P15" i="5"/>
  <c r="O15" i="5"/>
  <c r="N15" i="5"/>
  <c r="M15" i="5"/>
  <c r="L15" i="5"/>
  <c r="I15" i="5"/>
  <c r="H15" i="5"/>
  <c r="G15" i="5"/>
  <c r="F15" i="5"/>
  <c r="E15" i="5"/>
  <c r="D15" i="5"/>
  <c r="C15" i="5"/>
  <c r="B15" i="5"/>
  <c r="S14" i="5"/>
  <c r="R14" i="5"/>
  <c r="Q14" i="5"/>
  <c r="P14" i="5"/>
  <c r="O14" i="5"/>
  <c r="N14" i="5"/>
  <c r="M14" i="5"/>
  <c r="L14" i="5"/>
  <c r="I14" i="5"/>
  <c r="H14" i="5"/>
  <c r="G14" i="5"/>
  <c r="F14" i="5"/>
  <c r="E14" i="5"/>
  <c r="D14" i="5"/>
  <c r="C14" i="5"/>
  <c r="B14" i="5"/>
  <c r="S13" i="5"/>
  <c r="R13" i="5"/>
  <c r="Q13" i="5"/>
  <c r="P13" i="5"/>
  <c r="O13" i="5"/>
  <c r="N13" i="5"/>
  <c r="M13" i="5"/>
  <c r="L13" i="5"/>
  <c r="I13" i="5"/>
  <c r="H13" i="5"/>
  <c r="G13" i="5"/>
  <c r="F13" i="5"/>
  <c r="E13" i="5"/>
  <c r="D13" i="5"/>
  <c r="C13" i="5"/>
  <c r="B13" i="5"/>
  <c r="S12" i="5"/>
  <c r="R12" i="5"/>
  <c r="Q12" i="5"/>
  <c r="P12" i="5"/>
  <c r="O12" i="5"/>
  <c r="N12" i="5"/>
  <c r="M12" i="5"/>
  <c r="L12" i="5"/>
  <c r="I12" i="5"/>
  <c r="H12" i="5"/>
  <c r="G12" i="5"/>
  <c r="F12" i="5"/>
  <c r="E12" i="5"/>
  <c r="D12" i="5"/>
  <c r="C12" i="5"/>
  <c r="B12" i="5"/>
  <c r="S11" i="5"/>
  <c r="R11" i="5"/>
  <c r="Q11" i="5"/>
  <c r="P11" i="5"/>
  <c r="O11" i="5"/>
  <c r="N11" i="5"/>
  <c r="M11" i="5"/>
  <c r="L11" i="5"/>
  <c r="I11" i="5"/>
  <c r="H11" i="5"/>
  <c r="G11" i="5"/>
  <c r="F11" i="5"/>
  <c r="E11" i="5"/>
  <c r="D11" i="5"/>
  <c r="C11" i="5"/>
  <c r="B11" i="5"/>
  <c r="S10" i="5"/>
  <c r="R10" i="5"/>
  <c r="Q10" i="5"/>
  <c r="P10" i="5"/>
  <c r="O10" i="5"/>
  <c r="N10" i="5"/>
  <c r="M10" i="5"/>
  <c r="L10" i="5"/>
  <c r="I10" i="5"/>
  <c r="H10" i="5"/>
  <c r="G10" i="5"/>
  <c r="F10" i="5"/>
  <c r="E10" i="5"/>
  <c r="D10" i="5"/>
  <c r="C10" i="5"/>
  <c r="B10" i="5"/>
  <c r="S9" i="5"/>
  <c r="R9" i="5"/>
  <c r="Q9" i="5"/>
  <c r="P9" i="5"/>
  <c r="O9" i="5"/>
  <c r="N9" i="5"/>
  <c r="M9" i="5"/>
  <c r="L9" i="5"/>
  <c r="I9" i="5"/>
  <c r="H9" i="5"/>
  <c r="G9" i="5"/>
  <c r="F9" i="5"/>
  <c r="E9" i="5"/>
  <c r="D9" i="5"/>
  <c r="C9" i="5"/>
  <c r="B9" i="5"/>
  <c r="S8" i="5"/>
  <c r="R8" i="5"/>
  <c r="Q8" i="5"/>
  <c r="P8" i="5"/>
  <c r="O8" i="5"/>
  <c r="N8" i="5"/>
  <c r="M8" i="5"/>
  <c r="L8" i="5"/>
  <c r="I8" i="5"/>
  <c r="H8" i="5"/>
  <c r="G8" i="5"/>
  <c r="F8" i="5"/>
  <c r="E8" i="5"/>
  <c r="D8" i="5"/>
  <c r="C8" i="5"/>
  <c r="B8" i="5"/>
  <c r="S7" i="5"/>
  <c r="R7" i="5"/>
  <c r="Q7" i="5"/>
  <c r="P7" i="5"/>
  <c r="O7" i="5"/>
  <c r="N7" i="5"/>
  <c r="M7" i="5"/>
  <c r="L7" i="5"/>
  <c r="I7" i="5"/>
  <c r="H7" i="5"/>
  <c r="G7" i="5"/>
  <c r="F7" i="5"/>
  <c r="E7" i="5"/>
  <c r="D7" i="5"/>
  <c r="C7" i="5"/>
  <c r="B7" i="5"/>
  <c r="S6" i="5"/>
  <c r="R6" i="5"/>
  <c r="Q6" i="5"/>
  <c r="P6" i="5"/>
  <c r="O6" i="5"/>
  <c r="N6" i="5"/>
  <c r="M6" i="5"/>
  <c r="L6" i="5"/>
  <c r="I6" i="5"/>
  <c r="H6" i="5"/>
  <c r="G6" i="5"/>
  <c r="F6" i="5"/>
  <c r="E6" i="5"/>
  <c r="D6" i="5"/>
  <c r="C6" i="5"/>
  <c r="B6" i="5"/>
  <c r="S5" i="5"/>
  <c r="R5" i="5"/>
  <c r="Q5" i="5"/>
  <c r="P5" i="5"/>
  <c r="O5" i="5"/>
  <c r="N5" i="5"/>
  <c r="M5" i="5"/>
  <c r="L5" i="5"/>
  <c r="D25" i="5" s="1"/>
  <c r="I5" i="5"/>
  <c r="H5" i="5"/>
  <c r="G5" i="5"/>
  <c r="F5" i="5"/>
  <c r="E5" i="5"/>
  <c r="D5" i="5"/>
  <c r="C5" i="5"/>
  <c r="B5" i="5"/>
  <c r="D24" i="5" s="1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D27" i="5" s="1"/>
  <c r="E51" i="4"/>
  <c r="D26" i="5" s="1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</calcChain>
</file>

<file path=xl/sharedStrings.xml><?xml version="1.0" encoding="utf-8"?>
<sst xmlns="http://schemas.openxmlformats.org/spreadsheetml/2006/main" count="681" uniqueCount="259">
  <si>
    <t>ตารางแข่งขันแบบเข้าฐาน (Battle Rally) — 16 ทีม / 8 ฐาน / 8 รอบ</t>
  </si>
  <si>
    <t>แถว = รอบ, คอลัมน์ = ฐาน, แต่ละช่อง = คู่ที่แบทเทิลกัน</t>
  </si>
  <si>
    <t>รอบ</t>
  </si>
  <si>
    <t>ฐาน 1</t>
  </si>
  <si>
    <t>ฐาน 2</t>
  </si>
  <si>
    <t>ฐาน 3</t>
  </si>
  <si>
    <t>ฐาน 4</t>
  </si>
  <si>
    <t>ฐาน 5</t>
  </si>
  <si>
    <t>ฐาน 6</t>
  </si>
  <si>
    <t>ฐาน 7</t>
  </si>
  <si>
    <t>ฐาน 8</t>
  </si>
  <si>
    <t>รอบ 1</t>
  </si>
  <si>
    <t>6B  vs  7A</t>
  </si>
  <si>
    <t>1A  vs  5B</t>
  </si>
  <si>
    <t>4B  vs  7B</t>
  </si>
  <si>
    <t>1B  vs  6A</t>
  </si>
  <si>
    <t>2A  vs  5A</t>
  </si>
  <si>
    <t>2B  vs  8A</t>
  </si>
  <si>
    <t>3A  vs  4A</t>
  </si>
  <si>
    <t>3B  vs  8B</t>
  </si>
  <si>
    <t>รอบ 2</t>
  </si>
  <si>
    <t>4B  vs  5B</t>
  </si>
  <si>
    <t>5A  vs  6A</t>
  </si>
  <si>
    <t>1A  vs  3A</t>
  </si>
  <si>
    <t>2B  vs  6B</t>
  </si>
  <si>
    <t>1B  vs  8B</t>
  </si>
  <si>
    <t>4A  vs  7B</t>
  </si>
  <si>
    <t>2A  vs  3B</t>
  </si>
  <si>
    <t>7A  vs  8A</t>
  </si>
  <si>
    <t>รอบ 3</t>
  </si>
  <si>
    <t>3A  vs  5A</t>
  </si>
  <si>
    <t>7A  vs  8B</t>
  </si>
  <si>
    <t>1B  vs  3B</t>
  </si>
  <si>
    <t>2A  vs  4A</t>
  </si>
  <si>
    <t>1A  vs  6B</t>
  </si>
  <si>
    <t>5B  vs  6A</t>
  </si>
  <si>
    <t>4B  vs  8A</t>
  </si>
  <si>
    <t>2B  vs  7B</t>
  </si>
  <si>
    <t>รอบ 4</t>
  </si>
  <si>
    <t>3B  vs  4A</t>
  </si>
  <si>
    <t>7B  vs  8A</t>
  </si>
  <si>
    <t>5A  vs  8B</t>
  </si>
  <si>
    <t>4B  vs  7A</t>
  </si>
  <si>
    <t>2B  vs  5B</t>
  </si>
  <si>
    <t>1B  vs  2A</t>
  </si>
  <si>
    <t>1A  vs  6A</t>
  </si>
  <si>
    <t>3A  vs  6B</t>
  </si>
  <si>
    <t>รอบ 5</t>
  </si>
  <si>
    <t>7B  vs  8B</t>
  </si>
  <si>
    <t>2A  vs  4B</t>
  </si>
  <si>
    <t>2B  vs  7A</t>
  </si>
  <si>
    <t>3A  vs  5B</t>
  </si>
  <si>
    <t>6A  vs  8A</t>
  </si>
  <si>
    <t>1A  vs  3B</t>
  </si>
  <si>
    <t>1B  vs  6B</t>
  </si>
  <si>
    <t>4A  vs  5A</t>
  </si>
  <si>
    <t>รอบ 6</t>
  </si>
  <si>
    <t>1B  vs  2B</t>
  </si>
  <si>
    <t>3B  vs  6B</t>
  </si>
  <si>
    <t>4A  vs  6A</t>
  </si>
  <si>
    <t>5A  vs  8A</t>
  </si>
  <si>
    <t>3A  vs  7B</t>
  </si>
  <si>
    <t>4B  vs  8B</t>
  </si>
  <si>
    <t>5B  vs  7A</t>
  </si>
  <si>
    <t>1A  vs  2A</t>
  </si>
  <si>
    <t>รอบ 7</t>
  </si>
  <si>
    <t>2A  vs  6A</t>
  </si>
  <si>
    <t>2B  vs  4A</t>
  </si>
  <si>
    <t>6B  vs  8A</t>
  </si>
  <si>
    <t>1A  vs  8B</t>
  </si>
  <si>
    <t>3B  vs  4B</t>
  </si>
  <si>
    <t>3A  vs  7A</t>
  </si>
  <si>
    <t>5A  vs  7B</t>
  </si>
  <si>
    <t>1B  vs  5B</t>
  </si>
  <si>
    <t>รอบ 8</t>
  </si>
  <si>
    <t>1A  vs  8A</t>
  </si>
  <si>
    <t>1B  vs  3A</t>
  </si>
  <si>
    <t>2A  vs  5B</t>
  </si>
  <si>
    <t>3B  vs  7B</t>
  </si>
  <si>
    <t>4A  vs  7A</t>
  </si>
  <si>
    <t>5A  vs  6B</t>
  </si>
  <si>
    <t>2B  vs  8B</t>
  </si>
  <si>
    <t>4B  vs  6A</t>
  </si>
  <si>
    <t>เงื่อนไขที่ตารางนี้ทำได้ครบ: (1) ทุกฐานมี 2 ทีมทุกรอบ  (2) แต่ละทีมเข้าครบ 8 ฐาน ฐานละครั้ง  (3) ไม่มีคู่ซ้ำ  (4) ไม่มีคู่จากกลุ่มเดียวกัน</t>
  </si>
  <si>
    <t>ตารางรายทีม (สำหรับแจกแต่ละทีม)</t>
  </si>
  <si>
    <t>ทีม</t>
  </si>
  <si>
    <t>1A</t>
  </si>
  <si>
    <t>ฐาน 2
(พบ 5B)</t>
  </si>
  <si>
    <t>ฐาน 3
(พบ 3A)</t>
  </si>
  <si>
    <t>ฐาน 5
(พบ 6B)</t>
  </si>
  <si>
    <t>ฐาน 7
(พบ 6A)</t>
  </si>
  <si>
    <t>ฐาน 6
(พบ 3B)</t>
  </si>
  <si>
    <t>ฐาน 8
(พบ 2A)</t>
  </si>
  <si>
    <t>ฐาน 4
(พบ 8B)</t>
  </si>
  <si>
    <t>ฐาน 1
(พบ 8A)</t>
  </si>
  <si>
    <t>1B</t>
  </si>
  <si>
    <t>ฐาน 4
(พบ 6A)</t>
  </si>
  <si>
    <t>ฐาน 5
(พบ 8B)</t>
  </si>
  <si>
    <t>ฐาน 3
(พบ 3B)</t>
  </si>
  <si>
    <t>ฐาน 6
(พบ 2A)</t>
  </si>
  <si>
    <t>ฐาน 7
(พบ 6B)</t>
  </si>
  <si>
    <t>ฐาน 1
(พบ 2B)</t>
  </si>
  <si>
    <t>ฐาน 8
(พบ 5B)</t>
  </si>
  <si>
    <t>ฐาน 2
(พบ 3A)</t>
  </si>
  <si>
    <t>2A</t>
  </si>
  <si>
    <t>ฐาน 5
(พบ 5A)</t>
  </si>
  <si>
    <t>ฐาน 7
(พบ 3B)</t>
  </si>
  <si>
    <t>ฐาน 4
(พบ 4A)</t>
  </si>
  <si>
    <t>ฐาน 6
(พบ 1B)</t>
  </si>
  <si>
    <t>ฐาน 2
(พบ 4B)</t>
  </si>
  <si>
    <t>ฐาน 8
(พบ 1A)</t>
  </si>
  <si>
    <t>ฐาน 1
(พบ 6A)</t>
  </si>
  <si>
    <t>ฐาน 3
(พบ 5B)</t>
  </si>
  <si>
    <t>2B</t>
  </si>
  <si>
    <t>ฐาน 6
(พบ 8A)</t>
  </si>
  <si>
    <t>ฐาน 4
(พบ 6B)</t>
  </si>
  <si>
    <t>ฐาน 8
(พบ 7B)</t>
  </si>
  <si>
    <t>ฐาน 5
(พบ 5B)</t>
  </si>
  <si>
    <t>ฐาน 3
(พบ 7A)</t>
  </si>
  <si>
    <t>ฐาน 1
(พบ 1B)</t>
  </si>
  <si>
    <t>ฐาน 2
(พบ 4A)</t>
  </si>
  <si>
    <t>ฐาน 7
(พบ 8B)</t>
  </si>
  <si>
    <t>3A</t>
  </si>
  <si>
    <t>ฐาน 7
(พบ 4A)</t>
  </si>
  <si>
    <t>ฐาน 3
(พบ 1A)</t>
  </si>
  <si>
    <t>ฐาน 1
(พบ 5A)</t>
  </si>
  <si>
    <t>ฐาน 8
(พบ 6B)</t>
  </si>
  <si>
    <t>ฐาน 4
(พบ 5B)</t>
  </si>
  <si>
    <t>ฐาน 5
(พบ 7B)</t>
  </si>
  <si>
    <t>ฐาน 6
(พบ 7A)</t>
  </si>
  <si>
    <t>ฐาน 2
(พบ 1B)</t>
  </si>
  <si>
    <t>3B</t>
  </si>
  <si>
    <t>ฐาน 8
(พบ 8B)</t>
  </si>
  <si>
    <t>ฐาน 7
(พบ 2A)</t>
  </si>
  <si>
    <t>ฐาน 3
(พบ 1B)</t>
  </si>
  <si>
    <t>ฐาน 1
(พบ 4A)</t>
  </si>
  <si>
    <t>ฐาน 6
(พบ 1A)</t>
  </si>
  <si>
    <t>ฐาน 2
(พบ 6B)</t>
  </si>
  <si>
    <t>ฐาน 5
(พบ 4B)</t>
  </si>
  <si>
    <t>ฐาน 4
(พบ 7B)</t>
  </si>
  <si>
    <t>4A</t>
  </si>
  <si>
    <t>ฐาน 7
(พบ 3A)</t>
  </si>
  <si>
    <t>ฐาน 6
(พบ 7B)</t>
  </si>
  <si>
    <t>ฐาน 4
(พบ 2A)</t>
  </si>
  <si>
    <t>ฐาน 1
(พบ 3B)</t>
  </si>
  <si>
    <t>ฐาน 8
(พบ 5A)</t>
  </si>
  <si>
    <t>ฐาน 3
(พบ 6A)</t>
  </si>
  <si>
    <t>ฐาน 2
(พบ 2B)</t>
  </si>
  <si>
    <t>ฐาน 5
(พบ 7A)</t>
  </si>
  <si>
    <t>4B</t>
  </si>
  <si>
    <t>ฐาน 3
(พบ 7B)</t>
  </si>
  <si>
    <t>ฐาน 1
(พบ 5B)</t>
  </si>
  <si>
    <t>ฐาน 7
(พบ 8A)</t>
  </si>
  <si>
    <t>ฐาน 4
(พบ 7A)</t>
  </si>
  <si>
    <t>ฐาน 2
(พบ 2A)</t>
  </si>
  <si>
    <t>ฐาน 6
(พบ 8B)</t>
  </si>
  <si>
    <t>ฐาน 5
(พบ 3B)</t>
  </si>
  <si>
    <t>ฐาน 8
(พบ 6A)</t>
  </si>
  <si>
    <t>5A</t>
  </si>
  <si>
    <t>ฐาน 5
(พบ 2A)</t>
  </si>
  <si>
    <t>ฐาน 2
(พบ 6A)</t>
  </si>
  <si>
    <t>ฐาน 1
(พบ 3A)</t>
  </si>
  <si>
    <t>ฐาน 3
(พบ 8B)</t>
  </si>
  <si>
    <t>ฐาน 8
(พบ 4A)</t>
  </si>
  <si>
    <t>ฐาน 4
(พบ 8A)</t>
  </si>
  <si>
    <t>ฐาน 7
(พบ 7B)</t>
  </si>
  <si>
    <t>ฐาน 6
(พบ 6B)</t>
  </si>
  <si>
    <t>5B</t>
  </si>
  <si>
    <t>ฐาน 2
(พบ 1A)</t>
  </si>
  <si>
    <t>ฐาน 1
(พบ 4B)</t>
  </si>
  <si>
    <t>ฐาน 6
(พบ 6A)</t>
  </si>
  <si>
    <t>ฐาน 5
(พบ 2B)</t>
  </si>
  <si>
    <t>ฐาน 4
(พบ 3A)</t>
  </si>
  <si>
    <t>ฐาน 7
(พบ 7A)</t>
  </si>
  <si>
    <t>ฐาน 8
(พบ 1B)</t>
  </si>
  <si>
    <t>ฐาน 3
(พบ 2A)</t>
  </si>
  <si>
    <t>6A</t>
  </si>
  <si>
    <t>ฐาน 4
(พบ 1B)</t>
  </si>
  <si>
    <t>ฐาน 2
(พบ 5A)</t>
  </si>
  <si>
    <t>ฐาน 6
(พบ 5B)</t>
  </si>
  <si>
    <t>ฐาน 7
(พบ 1A)</t>
  </si>
  <si>
    <t>ฐาน 5
(พบ 8A)</t>
  </si>
  <si>
    <t>ฐาน 3
(พบ 4A)</t>
  </si>
  <si>
    <t>ฐาน 1
(พบ 2A)</t>
  </si>
  <si>
    <t>ฐาน 8
(พบ 4B)</t>
  </si>
  <si>
    <t>6B</t>
  </si>
  <si>
    <t>ฐาน 1
(พบ 7A)</t>
  </si>
  <si>
    <t>ฐาน 4
(พบ 2B)</t>
  </si>
  <si>
    <t>ฐาน 5
(พบ 1A)</t>
  </si>
  <si>
    <t>ฐาน 8
(พบ 3A)</t>
  </si>
  <si>
    <t>ฐาน 7
(พบ 1B)</t>
  </si>
  <si>
    <t>ฐาน 2
(พบ 3B)</t>
  </si>
  <si>
    <t>ฐาน 3
(พบ 8A)</t>
  </si>
  <si>
    <t>ฐาน 6
(พบ 5A)</t>
  </si>
  <si>
    <t>7A</t>
  </si>
  <si>
    <t>ฐาน 1
(พบ 6B)</t>
  </si>
  <si>
    <t>ฐาน 8
(พบ 8A)</t>
  </si>
  <si>
    <t>ฐาน 2
(พบ 8B)</t>
  </si>
  <si>
    <t>ฐาน 4
(พบ 4B)</t>
  </si>
  <si>
    <t>ฐาน 3
(พบ 2B)</t>
  </si>
  <si>
    <t>ฐาน 7
(พบ 5B)</t>
  </si>
  <si>
    <t>ฐาน 6
(พบ 3A)</t>
  </si>
  <si>
    <t>ฐาน 5
(พบ 4A)</t>
  </si>
  <si>
    <t>7B</t>
  </si>
  <si>
    <t>ฐาน 3
(พบ 4B)</t>
  </si>
  <si>
    <t>ฐาน 6
(พบ 4A)</t>
  </si>
  <si>
    <t>ฐาน 8
(พบ 2B)</t>
  </si>
  <si>
    <t>ฐาน 2
(พบ 8A)</t>
  </si>
  <si>
    <t>ฐาน 1
(พบ 8B)</t>
  </si>
  <si>
    <t>ฐาน 5
(พบ 3A)</t>
  </si>
  <si>
    <t>ฐาน 7
(พบ 5A)</t>
  </si>
  <si>
    <t>ฐาน 4
(พบ 3B)</t>
  </si>
  <si>
    <t>8A</t>
  </si>
  <si>
    <t>ฐาน 6
(พบ 2B)</t>
  </si>
  <si>
    <t>ฐาน 8
(พบ 7A)</t>
  </si>
  <si>
    <t>ฐาน 7
(พบ 4B)</t>
  </si>
  <si>
    <t>ฐาน 2
(พบ 7B)</t>
  </si>
  <si>
    <t>ฐาน 5
(พบ 6A)</t>
  </si>
  <si>
    <t>ฐาน 4
(พบ 5A)</t>
  </si>
  <si>
    <t>ฐาน 3
(พบ 6B)</t>
  </si>
  <si>
    <t>ฐาน 1
(พบ 1A)</t>
  </si>
  <si>
    <t>8B</t>
  </si>
  <si>
    <t>ฐาน 8
(พบ 3B)</t>
  </si>
  <si>
    <t>ฐาน 5
(พบ 1B)</t>
  </si>
  <si>
    <t>ฐาน 2
(พบ 7A)</t>
  </si>
  <si>
    <t>ฐาน 3
(พบ 5A)</t>
  </si>
  <si>
    <t>ฐาน 1
(พบ 7B)</t>
  </si>
  <si>
    <t>ฐาน 6
(พบ 4B)</t>
  </si>
  <si>
    <t>ฐาน 4
(พบ 1A)</t>
  </si>
  <si>
    <t>ฐาน 7
(พบ 2B)</t>
  </si>
  <si>
    <t>ใบบันทึกผลประจำฐาน (พิมพ์แจกกรรมการแต่ละฐาน)</t>
  </si>
  <si>
    <t>ช่องสีเหลือง = ช่องที่กรรมการกรอก</t>
  </si>
  <si>
    <t>ฐานที่ 1</t>
  </si>
  <si>
    <t>ทีม 1</t>
  </si>
  <si>
    <t>ทีม 2</t>
  </si>
  <si>
    <t>คะแนนทีม 1</t>
  </si>
  <si>
    <t>คะแนนทีม 2</t>
  </si>
  <si>
    <t>ทีมที่ชนะ</t>
  </si>
  <si>
    <t>ฐานที่ 2</t>
  </si>
  <si>
    <t>ฐานที่ 3</t>
  </si>
  <si>
    <t>ฐานที่ 4</t>
  </si>
  <si>
    <t>ฐานที่ 5</t>
  </si>
  <si>
    <t>ฐานที่ 6</t>
  </si>
  <si>
    <t>ฐานที่ 7</t>
  </si>
  <si>
    <t>ฐานที่ 8</t>
  </si>
  <si>
    <t>ฐาน</t>
  </si>
  <si>
    <t>ทีม1</t>
  </si>
  <si>
    <t>ทีม2</t>
  </si>
  <si>
    <t>คีย์คู่</t>
  </si>
  <si>
    <t>กลุ่มเดียวกัน(1=ผิด)</t>
  </si>
  <si>
    <t>ตรวจสอบเงื่อนไขอัตโนมัติ (ทุกค่าต้องเป็น 1 / ผลสรุปต้องเป็น ผ่าน)</t>
  </si>
  <si>
    <t>ตาราง 1: จำนวนครั้งที่แต่ละทีมเข้าแต่ละฐาน (ต้องเป็น 1 ทุกช่อง)</t>
  </si>
  <si>
    <t>ตาราง 2: จำนวนครั้งที่แต่ละทีมลงเล่นในแต่ละรอบ (ต้องเป็น 1 ทุกช่อง)</t>
  </si>
  <si>
    <t>สรุปผลตรวจสอบ</t>
  </si>
  <si>
    <t>1. ทุกทีมเข้าครบ 8 ฐาน ฐานละ 1 ครั้ง</t>
  </si>
  <si>
    <t>2. ทุกทีมลงเล่นครบทุกรอบ รอบละ 1 ครั้ง</t>
  </si>
  <si>
    <t>3. ไม่มีคู่แบทเทิลซ้ำกัน</t>
  </si>
  <si>
    <t>4. ไม่มีคู่ที่มาจากกลุ่มเดียวกัน</t>
  </si>
  <si>
    <t>5. จำนวนคู่การแข่งขันทั้งหมด (ต้องเท่ากับ 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</si>
</sst>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color rgb="FF1F4E79"/>
      <name val="Arial"/>
      <charset val="1"/>
    </font>
    <font>
      <b/>
      <sz val="13"/>
      <color rgb="FFFFFFFF"/>
      <name val="Arial"/>
      <charset val="1"/>
    </font>
    <font>
      <b/>
      <sz val="13"/>
      <color rgb="FF1F4E7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EAF1F8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AF1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/>
    <xf numFmtId="0" fontId="4" fillId="7" borderId="0" xfId="0" applyFont="1" applyFill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9" sqref="G19"/>
    </sheetView>
  </sheetViews>
  <sheetFormatPr baseColWidth="10" defaultColWidth="8.6640625" defaultRowHeight="15" x14ac:dyDescent="0.2"/>
  <cols>
    <col min="1" max="1" width="10" customWidth="1"/>
    <col min="2" max="9" width="15" customWidth="1"/>
  </cols>
  <sheetData>
    <row r="1" spans="1:9" ht="20" x14ac:dyDescent="0.2">
      <c r="A1" s="1" t="s">
        <v>0</v>
      </c>
    </row>
    <row r="2" spans="1:9" x14ac:dyDescent="0.2">
      <c r="A2" s="2" t="s">
        <v>1</v>
      </c>
    </row>
    <row r="4" spans="1:9" ht="25.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5.5" customHeight="1" x14ac:dyDescent="0.2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spans="1:9" ht="25.5" customHeight="1" x14ac:dyDescent="0.2">
      <c r="A6" s="4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</row>
    <row r="7" spans="1:9" ht="25.5" customHeight="1" x14ac:dyDescent="0.2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</row>
    <row r="8" spans="1:9" ht="25.5" customHeight="1" x14ac:dyDescent="0.2">
      <c r="A8" s="4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</row>
    <row r="9" spans="1:9" ht="25.5" customHeight="1" x14ac:dyDescent="0.2">
      <c r="A9" s="4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</row>
    <row r="10" spans="1:9" ht="25.5" customHeight="1" x14ac:dyDescent="0.2">
      <c r="A10" s="4" t="s">
        <v>56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  <c r="I10" s="6" t="s">
        <v>64</v>
      </c>
    </row>
    <row r="11" spans="1:9" ht="25.5" customHeight="1" x14ac:dyDescent="0.2">
      <c r="A11" s="4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5" t="s">
        <v>71</v>
      </c>
      <c r="H11" s="5" t="s">
        <v>72</v>
      </c>
      <c r="I11" s="5" t="s">
        <v>73</v>
      </c>
    </row>
    <row r="12" spans="1:9" ht="25.5" customHeight="1" x14ac:dyDescent="0.2">
      <c r="A12" s="4" t="s">
        <v>74</v>
      </c>
      <c r="B12" s="6" t="s">
        <v>75</v>
      </c>
      <c r="C12" s="6" t="s">
        <v>76</v>
      </c>
      <c r="D12" s="6" t="s">
        <v>77</v>
      </c>
      <c r="E12" s="6" t="s">
        <v>78</v>
      </c>
      <c r="F12" s="6" t="s">
        <v>79</v>
      </c>
      <c r="G12" s="6" t="s">
        <v>80</v>
      </c>
      <c r="H12" s="6" t="s">
        <v>81</v>
      </c>
      <c r="I12" s="6" t="s">
        <v>82</v>
      </c>
    </row>
    <row r="14" spans="1:9" x14ac:dyDescent="0.2">
      <c r="A14" s="7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0" sqref="E30"/>
    </sheetView>
  </sheetViews>
  <sheetFormatPr baseColWidth="10" defaultColWidth="8.6640625" defaultRowHeight="15" x14ac:dyDescent="0.2"/>
  <cols>
    <col min="1" max="1" width="10" customWidth="1"/>
    <col min="2" max="9" width="14" customWidth="1"/>
  </cols>
  <sheetData>
    <row r="1" spans="1:9" ht="20" x14ac:dyDescent="0.2">
      <c r="A1" s="1" t="s">
        <v>84</v>
      </c>
    </row>
    <row r="3" spans="1:9" x14ac:dyDescent="0.2">
      <c r="A3" s="3" t="s">
        <v>85</v>
      </c>
      <c r="B3" s="3" t="s">
        <v>11</v>
      </c>
      <c r="C3" s="3" t="s">
        <v>20</v>
      </c>
      <c r="D3" s="3" t="s">
        <v>29</v>
      </c>
      <c r="E3" s="3" t="s">
        <v>38</v>
      </c>
      <c r="F3" s="3" t="s">
        <v>47</v>
      </c>
      <c r="G3" s="3" t="s">
        <v>56</v>
      </c>
      <c r="H3" s="3" t="s">
        <v>65</v>
      </c>
      <c r="I3" s="3" t="s">
        <v>74</v>
      </c>
    </row>
    <row r="4" spans="1:9" ht="31.5" customHeight="1" x14ac:dyDescent="0.2">
      <c r="A4" s="4" t="s">
        <v>86</v>
      </c>
      <c r="B4" s="5" t="s">
        <v>87</v>
      </c>
      <c r="C4" s="5" t="s">
        <v>88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spans="1:9" ht="31.5" customHeight="1" x14ac:dyDescent="0.2">
      <c r="A5" s="4" t="s">
        <v>95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100</v>
      </c>
      <c r="G5" s="6" t="s">
        <v>101</v>
      </c>
      <c r="H5" s="6" t="s">
        <v>102</v>
      </c>
      <c r="I5" s="6" t="s">
        <v>103</v>
      </c>
    </row>
    <row r="6" spans="1:9" ht="31.5" customHeight="1" x14ac:dyDescent="0.2">
      <c r="A6" s="4" t="s">
        <v>104</v>
      </c>
      <c r="B6" s="5" t="s">
        <v>105</v>
      </c>
      <c r="C6" s="5" t="s">
        <v>106</v>
      </c>
      <c r="D6" s="5" t="s">
        <v>107</v>
      </c>
      <c r="E6" s="5" t="s">
        <v>108</v>
      </c>
      <c r="F6" s="5" t="s">
        <v>109</v>
      </c>
      <c r="G6" s="5" t="s">
        <v>110</v>
      </c>
      <c r="H6" s="5" t="s">
        <v>111</v>
      </c>
      <c r="I6" s="5" t="s">
        <v>112</v>
      </c>
    </row>
    <row r="7" spans="1:9" ht="31.5" customHeight="1" x14ac:dyDescent="0.2">
      <c r="A7" s="4" t="s">
        <v>113</v>
      </c>
      <c r="B7" s="6" t="s">
        <v>114</v>
      </c>
      <c r="C7" s="6" t="s">
        <v>115</v>
      </c>
      <c r="D7" s="6" t="s">
        <v>116</v>
      </c>
      <c r="E7" s="6" t="s">
        <v>117</v>
      </c>
      <c r="F7" s="6" t="s">
        <v>118</v>
      </c>
      <c r="G7" s="6" t="s">
        <v>119</v>
      </c>
      <c r="H7" s="6" t="s">
        <v>120</v>
      </c>
      <c r="I7" s="6" t="s">
        <v>121</v>
      </c>
    </row>
    <row r="8" spans="1:9" ht="31.5" customHeight="1" x14ac:dyDescent="0.2">
      <c r="A8" s="4" t="s">
        <v>122</v>
      </c>
      <c r="B8" s="5" t="s">
        <v>123</v>
      </c>
      <c r="C8" s="5" t="s">
        <v>124</v>
      </c>
      <c r="D8" s="5" t="s">
        <v>125</v>
      </c>
      <c r="E8" s="5" t="s">
        <v>126</v>
      </c>
      <c r="F8" s="5" t="s">
        <v>127</v>
      </c>
      <c r="G8" s="5" t="s">
        <v>128</v>
      </c>
      <c r="H8" s="5" t="s">
        <v>129</v>
      </c>
      <c r="I8" s="5" t="s">
        <v>130</v>
      </c>
    </row>
    <row r="9" spans="1:9" ht="31.5" customHeight="1" x14ac:dyDescent="0.2">
      <c r="A9" s="4" t="s">
        <v>131</v>
      </c>
      <c r="B9" s="6" t="s">
        <v>132</v>
      </c>
      <c r="C9" s="6" t="s">
        <v>133</v>
      </c>
      <c r="D9" s="6" t="s">
        <v>134</v>
      </c>
      <c r="E9" s="6" t="s">
        <v>135</v>
      </c>
      <c r="F9" s="6" t="s">
        <v>136</v>
      </c>
      <c r="G9" s="6" t="s">
        <v>137</v>
      </c>
      <c r="H9" s="6" t="s">
        <v>138</v>
      </c>
      <c r="I9" s="6" t="s">
        <v>139</v>
      </c>
    </row>
    <row r="10" spans="1:9" ht="31.5" customHeight="1" x14ac:dyDescent="0.2">
      <c r="A10" s="4" t="s">
        <v>140</v>
      </c>
      <c r="B10" s="5" t="s">
        <v>141</v>
      </c>
      <c r="C10" s="5" t="s">
        <v>142</v>
      </c>
      <c r="D10" s="5" t="s">
        <v>143</v>
      </c>
      <c r="E10" s="5" t="s">
        <v>144</v>
      </c>
      <c r="F10" s="5" t="s">
        <v>145</v>
      </c>
      <c r="G10" s="5" t="s">
        <v>146</v>
      </c>
      <c r="H10" s="5" t="s">
        <v>147</v>
      </c>
      <c r="I10" s="5" t="s">
        <v>148</v>
      </c>
    </row>
    <row r="11" spans="1:9" ht="31.5" customHeight="1" x14ac:dyDescent="0.2">
      <c r="A11" s="4" t="s">
        <v>149</v>
      </c>
      <c r="B11" s="6" t="s">
        <v>150</v>
      </c>
      <c r="C11" s="6" t="s">
        <v>151</v>
      </c>
      <c r="D11" s="6" t="s">
        <v>152</v>
      </c>
      <c r="E11" s="6" t="s">
        <v>153</v>
      </c>
      <c r="F11" s="6" t="s">
        <v>154</v>
      </c>
      <c r="G11" s="6" t="s">
        <v>155</v>
      </c>
      <c r="H11" s="6" t="s">
        <v>156</v>
      </c>
      <c r="I11" s="6" t="s">
        <v>157</v>
      </c>
    </row>
    <row r="12" spans="1:9" ht="31.5" customHeight="1" x14ac:dyDescent="0.2">
      <c r="A12" s="4" t="s">
        <v>158</v>
      </c>
      <c r="B12" s="5" t="s">
        <v>159</v>
      </c>
      <c r="C12" s="5" t="s">
        <v>160</v>
      </c>
      <c r="D12" s="5" t="s">
        <v>161</v>
      </c>
      <c r="E12" s="5" t="s">
        <v>162</v>
      </c>
      <c r="F12" s="5" t="s">
        <v>163</v>
      </c>
      <c r="G12" s="5" t="s">
        <v>164</v>
      </c>
      <c r="H12" s="5" t="s">
        <v>165</v>
      </c>
      <c r="I12" s="5" t="s">
        <v>166</v>
      </c>
    </row>
    <row r="13" spans="1:9" ht="31.5" customHeight="1" x14ac:dyDescent="0.2">
      <c r="A13" s="4" t="s">
        <v>167</v>
      </c>
      <c r="B13" s="6" t="s">
        <v>168</v>
      </c>
      <c r="C13" s="6" t="s">
        <v>169</v>
      </c>
      <c r="D13" s="6" t="s">
        <v>170</v>
      </c>
      <c r="E13" s="6" t="s">
        <v>171</v>
      </c>
      <c r="F13" s="6" t="s">
        <v>172</v>
      </c>
      <c r="G13" s="6" t="s">
        <v>173</v>
      </c>
      <c r="H13" s="6" t="s">
        <v>174</v>
      </c>
      <c r="I13" s="6" t="s">
        <v>175</v>
      </c>
    </row>
    <row r="14" spans="1:9" ht="31.5" customHeight="1" x14ac:dyDescent="0.2">
      <c r="A14" s="4" t="s">
        <v>176</v>
      </c>
      <c r="B14" s="5" t="s">
        <v>177</v>
      </c>
      <c r="C14" s="5" t="s">
        <v>178</v>
      </c>
      <c r="D14" s="5" t="s">
        <v>179</v>
      </c>
      <c r="E14" s="5" t="s">
        <v>180</v>
      </c>
      <c r="F14" s="5" t="s">
        <v>181</v>
      </c>
      <c r="G14" s="5" t="s">
        <v>182</v>
      </c>
      <c r="H14" s="5" t="s">
        <v>183</v>
      </c>
      <c r="I14" s="5" t="s">
        <v>184</v>
      </c>
    </row>
    <row r="15" spans="1:9" ht="31.5" customHeight="1" x14ac:dyDescent="0.2">
      <c r="A15" s="4" t="s">
        <v>185</v>
      </c>
      <c r="B15" s="6" t="s">
        <v>186</v>
      </c>
      <c r="C15" s="6" t="s">
        <v>187</v>
      </c>
      <c r="D15" s="6" t="s">
        <v>188</v>
      </c>
      <c r="E15" s="6" t="s">
        <v>189</v>
      </c>
      <c r="F15" s="6" t="s">
        <v>190</v>
      </c>
      <c r="G15" s="6" t="s">
        <v>191</v>
      </c>
      <c r="H15" s="6" t="s">
        <v>192</v>
      </c>
      <c r="I15" s="6" t="s">
        <v>193</v>
      </c>
    </row>
    <row r="16" spans="1:9" ht="31.5" customHeight="1" x14ac:dyDescent="0.2">
      <c r="A16" s="4" t="s">
        <v>194</v>
      </c>
      <c r="B16" s="5" t="s">
        <v>195</v>
      </c>
      <c r="C16" s="5" t="s">
        <v>196</v>
      </c>
      <c r="D16" s="5" t="s">
        <v>197</v>
      </c>
      <c r="E16" s="5" t="s">
        <v>198</v>
      </c>
      <c r="F16" s="5" t="s">
        <v>199</v>
      </c>
      <c r="G16" s="5" t="s">
        <v>200</v>
      </c>
      <c r="H16" s="5" t="s">
        <v>201</v>
      </c>
      <c r="I16" s="5" t="s">
        <v>202</v>
      </c>
    </row>
    <row r="17" spans="1:9" ht="31.5" customHeight="1" x14ac:dyDescent="0.2">
      <c r="A17" s="4" t="s">
        <v>203</v>
      </c>
      <c r="B17" s="6" t="s">
        <v>204</v>
      </c>
      <c r="C17" s="6" t="s">
        <v>205</v>
      </c>
      <c r="D17" s="6" t="s">
        <v>206</v>
      </c>
      <c r="E17" s="6" t="s">
        <v>207</v>
      </c>
      <c r="F17" s="6" t="s">
        <v>208</v>
      </c>
      <c r="G17" s="6" t="s">
        <v>209</v>
      </c>
      <c r="H17" s="6" t="s">
        <v>210</v>
      </c>
      <c r="I17" s="6" t="s">
        <v>211</v>
      </c>
    </row>
    <row r="18" spans="1:9" ht="31.5" customHeight="1" x14ac:dyDescent="0.2">
      <c r="A18" s="4" t="s">
        <v>212</v>
      </c>
      <c r="B18" s="5" t="s">
        <v>213</v>
      </c>
      <c r="C18" s="5" t="s">
        <v>214</v>
      </c>
      <c r="D18" s="5" t="s">
        <v>215</v>
      </c>
      <c r="E18" s="5" t="s">
        <v>216</v>
      </c>
      <c r="F18" s="5" t="s">
        <v>217</v>
      </c>
      <c r="G18" s="5" t="s">
        <v>218</v>
      </c>
      <c r="H18" s="5" t="s">
        <v>219</v>
      </c>
      <c r="I18" s="5" t="s">
        <v>220</v>
      </c>
    </row>
    <row r="19" spans="1:9" ht="31.5" customHeight="1" x14ac:dyDescent="0.2">
      <c r="A19" s="4" t="s">
        <v>221</v>
      </c>
      <c r="B19" s="6" t="s">
        <v>222</v>
      </c>
      <c r="C19" s="6" t="s">
        <v>223</v>
      </c>
      <c r="D19" s="6" t="s">
        <v>224</v>
      </c>
      <c r="E19" s="6" t="s">
        <v>225</v>
      </c>
      <c r="F19" s="6" t="s">
        <v>226</v>
      </c>
      <c r="G19" s="6" t="s">
        <v>227</v>
      </c>
      <c r="H19" s="6" t="s">
        <v>228</v>
      </c>
      <c r="I19" s="6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3" width="12" customWidth="1"/>
    <col min="4" max="6" width="14" customWidth="1"/>
  </cols>
  <sheetData>
    <row r="1" spans="1:6" ht="20" x14ac:dyDescent="0.2">
      <c r="A1" s="1" t="s">
        <v>230</v>
      </c>
    </row>
    <row r="2" spans="1:6" x14ac:dyDescent="0.2">
      <c r="A2" s="2" t="s">
        <v>231</v>
      </c>
    </row>
    <row r="4" spans="1:6" ht="17" x14ac:dyDescent="0.2">
      <c r="A4" s="8" t="s">
        <v>232</v>
      </c>
      <c r="B4" s="9"/>
      <c r="C4" s="9"/>
      <c r="D4" s="9"/>
      <c r="E4" s="9"/>
      <c r="F4" s="9"/>
    </row>
    <row r="5" spans="1:6" x14ac:dyDescent="0.2">
      <c r="A5" s="4" t="s">
        <v>2</v>
      </c>
      <c r="B5" s="4" t="s">
        <v>233</v>
      </c>
      <c r="C5" s="4" t="s">
        <v>234</v>
      </c>
      <c r="D5" s="4" t="s">
        <v>235</v>
      </c>
      <c r="E5" s="4" t="s">
        <v>236</v>
      </c>
      <c r="F5" s="4" t="s">
        <v>237</v>
      </c>
    </row>
    <row r="6" spans="1:6" x14ac:dyDescent="0.2">
      <c r="A6" s="5" t="s">
        <v>11</v>
      </c>
      <c r="B6" s="5" t="s">
        <v>185</v>
      </c>
      <c r="C6" s="5" t="s">
        <v>194</v>
      </c>
      <c r="D6" s="10"/>
      <c r="E6" s="10"/>
      <c r="F6" s="10"/>
    </row>
    <row r="7" spans="1:6" x14ac:dyDescent="0.2">
      <c r="A7" s="5" t="s">
        <v>20</v>
      </c>
      <c r="B7" s="5" t="s">
        <v>149</v>
      </c>
      <c r="C7" s="5" t="s">
        <v>167</v>
      </c>
      <c r="D7" s="10"/>
      <c r="E7" s="10"/>
      <c r="F7" s="10"/>
    </row>
    <row r="8" spans="1:6" x14ac:dyDescent="0.2">
      <c r="A8" s="5" t="s">
        <v>29</v>
      </c>
      <c r="B8" s="5" t="s">
        <v>122</v>
      </c>
      <c r="C8" s="5" t="s">
        <v>158</v>
      </c>
      <c r="D8" s="10"/>
      <c r="E8" s="10"/>
      <c r="F8" s="10"/>
    </row>
    <row r="9" spans="1:6" x14ac:dyDescent="0.2">
      <c r="A9" s="5" t="s">
        <v>38</v>
      </c>
      <c r="B9" s="5" t="s">
        <v>131</v>
      </c>
      <c r="C9" s="5" t="s">
        <v>140</v>
      </c>
      <c r="D9" s="10"/>
      <c r="E9" s="10"/>
      <c r="F9" s="10"/>
    </row>
    <row r="10" spans="1:6" x14ac:dyDescent="0.2">
      <c r="A10" s="5" t="s">
        <v>47</v>
      </c>
      <c r="B10" s="5" t="s">
        <v>203</v>
      </c>
      <c r="C10" s="5" t="s">
        <v>221</v>
      </c>
      <c r="D10" s="10"/>
      <c r="E10" s="10"/>
      <c r="F10" s="10"/>
    </row>
    <row r="11" spans="1:6" x14ac:dyDescent="0.2">
      <c r="A11" s="5" t="s">
        <v>56</v>
      </c>
      <c r="B11" s="5" t="s">
        <v>95</v>
      </c>
      <c r="C11" s="5" t="s">
        <v>113</v>
      </c>
      <c r="D11" s="10"/>
      <c r="E11" s="10"/>
      <c r="F11" s="10"/>
    </row>
    <row r="12" spans="1:6" x14ac:dyDescent="0.2">
      <c r="A12" s="5" t="s">
        <v>65</v>
      </c>
      <c r="B12" s="5" t="s">
        <v>104</v>
      </c>
      <c r="C12" s="5" t="s">
        <v>176</v>
      </c>
      <c r="D12" s="10"/>
      <c r="E12" s="10"/>
      <c r="F12" s="10"/>
    </row>
    <row r="13" spans="1:6" x14ac:dyDescent="0.2">
      <c r="A13" s="5" t="s">
        <v>74</v>
      </c>
      <c r="B13" s="5" t="s">
        <v>86</v>
      </c>
      <c r="C13" s="5" t="s">
        <v>212</v>
      </c>
      <c r="D13" s="10"/>
      <c r="E13" s="10"/>
      <c r="F13" s="10"/>
    </row>
    <row r="15" spans="1:6" ht="17" x14ac:dyDescent="0.2">
      <c r="A15" s="8" t="s">
        <v>238</v>
      </c>
      <c r="B15" s="9"/>
      <c r="C15" s="9"/>
      <c r="D15" s="9"/>
      <c r="E15" s="9"/>
      <c r="F15" s="9"/>
    </row>
    <row r="16" spans="1:6" x14ac:dyDescent="0.2">
      <c r="A16" s="4" t="s">
        <v>2</v>
      </c>
      <c r="B16" s="4" t="s">
        <v>233</v>
      </c>
      <c r="C16" s="4" t="s">
        <v>234</v>
      </c>
      <c r="D16" s="4" t="s">
        <v>235</v>
      </c>
      <c r="E16" s="4" t="s">
        <v>236</v>
      </c>
      <c r="F16" s="4" t="s">
        <v>237</v>
      </c>
    </row>
    <row r="17" spans="1:6" x14ac:dyDescent="0.2">
      <c r="A17" s="5" t="s">
        <v>11</v>
      </c>
      <c r="B17" s="5" t="s">
        <v>86</v>
      </c>
      <c r="C17" s="5" t="s">
        <v>167</v>
      </c>
      <c r="D17" s="10"/>
      <c r="E17" s="10"/>
      <c r="F17" s="10"/>
    </row>
    <row r="18" spans="1:6" x14ac:dyDescent="0.2">
      <c r="A18" s="5" t="s">
        <v>20</v>
      </c>
      <c r="B18" s="5" t="s">
        <v>158</v>
      </c>
      <c r="C18" s="5" t="s">
        <v>176</v>
      </c>
      <c r="D18" s="10"/>
      <c r="E18" s="10"/>
      <c r="F18" s="10"/>
    </row>
    <row r="19" spans="1:6" x14ac:dyDescent="0.2">
      <c r="A19" s="5" t="s">
        <v>29</v>
      </c>
      <c r="B19" s="5" t="s">
        <v>194</v>
      </c>
      <c r="C19" s="5" t="s">
        <v>221</v>
      </c>
      <c r="D19" s="10"/>
      <c r="E19" s="10"/>
      <c r="F19" s="10"/>
    </row>
    <row r="20" spans="1:6" x14ac:dyDescent="0.2">
      <c r="A20" s="5" t="s">
        <v>38</v>
      </c>
      <c r="B20" s="5" t="s">
        <v>203</v>
      </c>
      <c r="C20" s="5" t="s">
        <v>212</v>
      </c>
      <c r="D20" s="10"/>
      <c r="E20" s="10"/>
      <c r="F20" s="10"/>
    </row>
    <row r="21" spans="1:6" x14ac:dyDescent="0.2">
      <c r="A21" s="5" t="s">
        <v>47</v>
      </c>
      <c r="B21" s="5" t="s">
        <v>104</v>
      </c>
      <c r="C21" s="5" t="s">
        <v>149</v>
      </c>
      <c r="D21" s="10"/>
      <c r="E21" s="10"/>
      <c r="F21" s="10"/>
    </row>
    <row r="22" spans="1:6" x14ac:dyDescent="0.2">
      <c r="A22" s="5" t="s">
        <v>56</v>
      </c>
      <c r="B22" s="5" t="s">
        <v>131</v>
      </c>
      <c r="C22" s="5" t="s">
        <v>185</v>
      </c>
      <c r="D22" s="10"/>
      <c r="E22" s="10"/>
      <c r="F22" s="10"/>
    </row>
    <row r="23" spans="1:6" x14ac:dyDescent="0.2">
      <c r="A23" s="5" t="s">
        <v>65</v>
      </c>
      <c r="B23" s="5" t="s">
        <v>113</v>
      </c>
      <c r="C23" s="5" t="s">
        <v>140</v>
      </c>
      <c r="D23" s="10"/>
      <c r="E23" s="10"/>
      <c r="F23" s="10"/>
    </row>
    <row r="24" spans="1:6" x14ac:dyDescent="0.2">
      <c r="A24" s="5" t="s">
        <v>74</v>
      </c>
      <c r="B24" s="5" t="s">
        <v>95</v>
      </c>
      <c r="C24" s="5" t="s">
        <v>122</v>
      </c>
      <c r="D24" s="10"/>
      <c r="E24" s="10"/>
      <c r="F24" s="10"/>
    </row>
    <row r="26" spans="1:6" ht="17" x14ac:dyDescent="0.2">
      <c r="A26" s="8" t="s">
        <v>239</v>
      </c>
      <c r="B26" s="9"/>
      <c r="C26" s="9"/>
      <c r="D26" s="9"/>
      <c r="E26" s="9"/>
      <c r="F26" s="9"/>
    </row>
    <row r="27" spans="1:6" x14ac:dyDescent="0.2">
      <c r="A27" s="4" t="s">
        <v>2</v>
      </c>
      <c r="B27" s="4" t="s">
        <v>233</v>
      </c>
      <c r="C27" s="4" t="s">
        <v>234</v>
      </c>
      <c r="D27" s="4" t="s">
        <v>235</v>
      </c>
      <c r="E27" s="4" t="s">
        <v>236</v>
      </c>
      <c r="F27" s="4" t="s">
        <v>237</v>
      </c>
    </row>
    <row r="28" spans="1:6" x14ac:dyDescent="0.2">
      <c r="A28" s="5" t="s">
        <v>11</v>
      </c>
      <c r="B28" s="5" t="s">
        <v>149</v>
      </c>
      <c r="C28" s="5" t="s">
        <v>203</v>
      </c>
      <c r="D28" s="10"/>
      <c r="E28" s="10"/>
      <c r="F28" s="10"/>
    </row>
    <row r="29" spans="1:6" x14ac:dyDescent="0.2">
      <c r="A29" s="5" t="s">
        <v>20</v>
      </c>
      <c r="B29" s="5" t="s">
        <v>86</v>
      </c>
      <c r="C29" s="5" t="s">
        <v>122</v>
      </c>
      <c r="D29" s="10"/>
      <c r="E29" s="10"/>
      <c r="F29" s="10"/>
    </row>
    <row r="30" spans="1:6" x14ac:dyDescent="0.2">
      <c r="A30" s="5" t="s">
        <v>29</v>
      </c>
      <c r="B30" s="5" t="s">
        <v>95</v>
      </c>
      <c r="C30" s="5" t="s">
        <v>131</v>
      </c>
      <c r="D30" s="10"/>
      <c r="E30" s="10"/>
      <c r="F30" s="10"/>
    </row>
    <row r="31" spans="1:6" x14ac:dyDescent="0.2">
      <c r="A31" s="5" t="s">
        <v>38</v>
      </c>
      <c r="B31" s="5" t="s">
        <v>158</v>
      </c>
      <c r="C31" s="5" t="s">
        <v>221</v>
      </c>
      <c r="D31" s="10"/>
      <c r="E31" s="10"/>
      <c r="F31" s="10"/>
    </row>
    <row r="32" spans="1:6" x14ac:dyDescent="0.2">
      <c r="A32" s="5" t="s">
        <v>47</v>
      </c>
      <c r="B32" s="5" t="s">
        <v>113</v>
      </c>
      <c r="C32" s="5" t="s">
        <v>194</v>
      </c>
      <c r="D32" s="10"/>
      <c r="E32" s="10"/>
      <c r="F32" s="10"/>
    </row>
    <row r="33" spans="1:6" x14ac:dyDescent="0.2">
      <c r="A33" s="5" t="s">
        <v>56</v>
      </c>
      <c r="B33" s="5" t="s">
        <v>140</v>
      </c>
      <c r="C33" s="5" t="s">
        <v>176</v>
      </c>
      <c r="D33" s="10"/>
      <c r="E33" s="10"/>
      <c r="F33" s="10"/>
    </row>
    <row r="34" spans="1:6" x14ac:dyDescent="0.2">
      <c r="A34" s="5" t="s">
        <v>65</v>
      </c>
      <c r="B34" s="5" t="s">
        <v>185</v>
      </c>
      <c r="C34" s="5" t="s">
        <v>212</v>
      </c>
      <c r="D34" s="10"/>
      <c r="E34" s="10"/>
      <c r="F34" s="10"/>
    </row>
    <row r="35" spans="1:6" x14ac:dyDescent="0.2">
      <c r="A35" s="5" t="s">
        <v>74</v>
      </c>
      <c r="B35" s="5" t="s">
        <v>104</v>
      </c>
      <c r="C35" s="5" t="s">
        <v>167</v>
      </c>
      <c r="D35" s="10"/>
      <c r="E35" s="10"/>
      <c r="F35" s="10"/>
    </row>
    <row r="37" spans="1:6" ht="17" x14ac:dyDescent="0.2">
      <c r="A37" s="8" t="s">
        <v>240</v>
      </c>
      <c r="B37" s="9"/>
      <c r="C37" s="9"/>
      <c r="D37" s="9"/>
      <c r="E37" s="9"/>
      <c r="F37" s="9"/>
    </row>
    <row r="38" spans="1:6" x14ac:dyDescent="0.2">
      <c r="A38" s="4" t="s">
        <v>2</v>
      </c>
      <c r="B38" s="4" t="s">
        <v>233</v>
      </c>
      <c r="C38" s="4" t="s">
        <v>234</v>
      </c>
      <c r="D38" s="4" t="s">
        <v>235</v>
      </c>
      <c r="E38" s="4" t="s">
        <v>236</v>
      </c>
      <c r="F38" s="4" t="s">
        <v>237</v>
      </c>
    </row>
    <row r="39" spans="1:6" x14ac:dyDescent="0.2">
      <c r="A39" s="5" t="s">
        <v>11</v>
      </c>
      <c r="B39" s="5" t="s">
        <v>95</v>
      </c>
      <c r="C39" s="5" t="s">
        <v>176</v>
      </c>
      <c r="D39" s="10"/>
      <c r="E39" s="10"/>
      <c r="F39" s="10"/>
    </row>
    <row r="40" spans="1:6" x14ac:dyDescent="0.2">
      <c r="A40" s="5" t="s">
        <v>20</v>
      </c>
      <c r="B40" s="5" t="s">
        <v>113</v>
      </c>
      <c r="C40" s="5" t="s">
        <v>185</v>
      </c>
      <c r="D40" s="10"/>
      <c r="E40" s="10"/>
      <c r="F40" s="10"/>
    </row>
    <row r="41" spans="1:6" x14ac:dyDescent="0.2">
      <c r="A41" s="5" t="s">
        <v>29</v>
      </c>
      <c r="B41" s="5" t="s">
        <v>104</v>
      </c>
      <c r="C41" s="5" t="s">
        <v>140</v>
      </c>
      <c r="D41" s="10"/>
      <c r="E41" s="10"/>
      <c r="F41" s="10"/>
    </row>
    <row r="42" spans="1:6" x14ac:dyDescent="0.2">
      <c r="A42" s="5" t="s">
        <v>38</v>
      </c>
      <c r="B42" s="5" t="s">
        <v>149</v>
      </c>
      <c r="C42" s="5" t="s">
        <v>194</v>
      </c>
      <c r="D42" s="10"/>
      <c r="E42" s="10"/>
      <c r="F42" s="10"/>
    </row>
    <row r="43" spans="1:6" x14ac:dyDescent="0.2">
      <c r="A43" s="5" t="s">
        <v>47</v>
      </c>
      <c r="B43" s="5" t="s">
        <v>122</v>
      </c>
      <c r="C43" s="5" t="s">
        <v>167</v>
      </c>
      <c r="D43" s="10"/>
      <c r="E43" s="10"/>
      <c r="F43" s="10"/>
    </row>
    <row r="44" spans="1:6" x14ac:dyDescent="0.2">
      <c r="A44" s="5" t="s">
        <v>56</v>
      </c>
      <c r="B44" s="5" t="s">
        <v>158</v>
      </c>
      <c r="C44" s="5" t="s">
        <v>212</v>
      </c>
      <c r="D44" s="10"/>
      <c r="E44" s="10"/>
      <c r="F44" s="10"/>
    </row>
    <row r="45" spans="1:6" x14ac:dyDescent="0.2">
      <c r="A45" s="5" t="s">
        <v>65</v>
      </c>
      <c r="B45" s="5" t="s">
        <v>86</v>
      </c>
      <c r="C45" s="5" t="s">
        <v>221</v>
      </c>
      <c r="D45" s="10"/>
      <c r="E45" s="10"/>
      <c r="F45" s="10"/>
    </row>
    <row r="46" spans="1:6" x14ac:dyDescent="0.2">
      <c r="A46" s="5" t="s">
        <v>74</v>
      </c>
      <c r="B46" s="5" t="s">
        <v>131</v>
      </c>
      <c r="C46" s="5" t="s">
        <v>203</v>
      </c>
      <c r="D46" s="10"/>
      <c r="E46" s="10"/>
      <c r="F46" s="10"/>
    </row>
    <row r="48" spans="1:6" ht="17" x14ac:dyDescent="0.2">
      <c r="A48" s="8" t="s">
        <v>241</v>
      </c>
      <c r="B48" s="9"/>
      <c r="C48" s="9"/>
      <c r="D48" s="9"/>
      <c r="E48" s="9"/>
      <c r="F48" s="9"/>
    </row>
    <row r="49" spans="1:6" x14ac:dyDescent="0.2">
      <c r="A49" s="4" t="s">
        <v>2</v>
      </c>
      <c r="B49" s="4" t="s">
        <v>233</v>
      </c>
      <c r="C49" s="4" t="s">
        <v>234</v>
      </c>
      <c r="D49" s="4" t="s">
        <v>235</v>
      </c>
      <c r="E49" s="4" t="s">
        <v>236</v>
      </c>
      <c r="F49" s="4" t="s">
        <v>237</v>
      </c>
    </row>
    <row r="50" spans="1:6" x14ac:dyDescent="0.2">
      <c r="A50" s="5" t="s">
        <v>11</v>
      </c>
      <c r="B50" s="5" t="s">
        <v>104</v>
      </c>
      <c r="C50" s="5" t="s">
        <v>158</v>
      </c>
      <c r="D50" s="10"/>
      <c r="E50" s="10"/>
      <c r="F50" s="10"/>
    </row>
    <row r="51" spans="1:6" x14ac:dyDescent="0.2">
      <c r="A51" s="5" t="s">
        <v>20</v>
      </c>
      <c r="B51" s="5" t="s">
        <v>95</v>
      </c>
      <c r="C51" s="5" t="s">
        <v>221</v>
      </c>
      <c r="D51" s="10"/>
      <c r="E51" s="10"/>
      <c r="F51" s="10"/>
    </row>
    <row r="52" spans="1:6" x14ac:dyDescent="0.2">
      <c r="A52" s="5" t="s">
        <v>29</v>
      </c>
      <c r="B52" s="5" t="s">
        <v>86</v>
      </c>
      <c r="C52" s="5" t="s">
        <v>185</v>
      </c>
      <c r="D52" s="10"/>
      <c r="E52" s="10"/>
      <c r="F52" s="10"/>
    </row>
    <row r="53" spans="1:6" x14ac:dyDescent="0.2">
      <c r="A53" s="5" t="s">
        <v>38</v>
      </c>
      <c r="B53" s="5" t="s">
        <v>113</v>
      </c>
      <c r="C53" s="5" t="s">
        <v>167</v>
      </c>
      <c r="D53" s="10"/>
      <c r="E53" s="10"/>
      <c r="F53" s="10"/>
    </row>
    <row r="54" spans="1:6" x14ac:dyDescent="0.2">
      <c r="A54" s="5" t="s">
        <v>47</v>
      </c>
      <c r="B54" s="5" t="s">
        <v>176</v>
      </c>
      <c r="C54" s="5" t="s">
        <v>212</v>
      </c>
      <c r="D54" s="10"/>
      <c r="E54" s="10"/>
      <c r="F54" s="10"/>
    </row>
    <row r="55" spans="1:6" x14ac:dyDescent="0.2">
      <c r="A55" s="5" t="s">
        <v>56</v>
      </c>
      <c r="B55" s="5" t="s">
        <v>122</v>
      </c>
      <c r="C55" s="5" t="s">
        <v>203</v>
      </c>
      <c r="D55" s="10"/>
      <c r="E55" s="10"/>
      <c r="F55" s="10"/>
    </row>
    <row r="56" spans="1:6" x14ac:dyDescent="0.2">
      <c r="A56" s="5" t="s">
        <v>65</v>
      </c>
      <c r="B56" s="5" t="s">
        <v>131</v>
      </c>
      <c r="C56" s="5" t="s">
        <v>149</v>
      </c>
      <c r="D56" s="10"/>
      <c r="E56" s="10"/>
      <c r="F56" s="10"/>
    </row>
    <row r="57" spans="1:6" x14ac:dyDescent="0.2">
      <c r="A57" s="5" t="s">
        <v>74</v>
      </c>
      <c r="B57" s="5" t="s">
        <v>140</v>
      </c>
      <c r="C57" s="5" t="s">
        <v>194</v>
      </c>
      <c r="D57" s="10"/>
      <c r="E57" s="10"/>
      <c r="F57" s="10"/>
    </row>
    <row r="59" spans="1:6" ht="17" x14ac:dyDescent="0.2">
      <c r="A59" s="8" t="s">
        <v>242</v>
      </c>
      <c r="B59" s="9"/>
      <c r="C59" s="9"/>
      <c r="D59" s="9"/>
      <c r="E59" s="9"/>
      <c r="F59" s="9"/>
    </row>
    <row r="60" spans="1:6" x14ac:dyDescent="0.2">
      <c r="A60" s="4" t="s">
        <v>2</v>
      </c>
      <c r="B60" s="4" t="s">
        <v>233</v>
      </c>
      <c r="C60" s="4" t="s">
        <v>234</v>
      </c>
      <c r="D60" s="4" t="s">
        <v>235</v>
      </c>
      <c r="E60" s="4" t="s">
        <v>236</v>
      </c>
      <c r="F60" s="4" t="s">
        <v>237</v>
      </c>
    </row>
    <row r="61" spans="1:6" x14ac:dyDescent="0.2">
      <c r="A61" s="5" t="s">
        <v>11</v>
      </c>
      <c r="B61" s="5" t="s">
        <v>113</v>
      </c>
      <c r="C61" s="5" t="s">
        <v>212</v>
      </c>
      <c r="D61" s="10"/>
      <c r="E61" s="10"/>
      <c r="F61" s="10"/>
    </row>
    <row r="62" spans="1:6" x14ac:dyDescent="0.2">
      <c r="A62" s="5" t="s">
        <v>20</v>
      </c>
      <c r="B62" s="5" t="s">
        <v>140</v>
      </c>
      <c r="C62" s="5" t="s">
        <v>203</v>
      </c>
      <c r="D62" s="10"/>
      <c r="E62" s="10"/>
      <c r="F62" s="10"/>
    </row>
    <row r="63" spans="1:6" x14ac:dyDescent="0.2">
      <c r="A63" s="5" t="s">
        <v>29</v>
      </c>
      <c r="B63" s="5" t="s">
        <v>167</v>
      </c>
      <c r="C63" s="5" t="s">
        <v>176</v>
      </c>
      <c r="D63" s="10"/>
      <c r="E63" s="10"/>
      <c r="F63" s="10"/>
    </row>
    <row r="64" spans="1:6" x14ac:dyDescent="0.2">
      <c r="A64" s="5" t="s">
        <v>38</v>
      </c>
      <c r="B64" s="5" t="s">
        <v>95</v>
      </c>
      <c r="C64" s="5" t="s">
        <v>104</v>
      </c>
      <c r="D64" s="10"/>
      <c r="E64" s="10"/>
      <c r="F64" s="10"/>
    </row>
    <row r="65" spans="1:6" x14ac:dyDescent="0.2">
      <c r="A65" s="5" t="s">
        <v>47</v>
      </c>
      <c r="B65" s="5" t="s">
        <v>86</v>
      </c>
      <c r="C65" s="5" t="s">
        <v>131</v>
      </c>
      <c r="D65" s="10"/>
      <c r="E65" s="10"/>
      <c r="F65" s="10"/>
    </row>
    <row r="66" spans="1:6" x14ac:dyDescent="0.2">
      <c r="A66" s="5" t="s">
        <v>56</v>
      </c>
      <c r="B66" s="5" t="s">
        <v>149</v>
      </c>
      <c r="C66" s="5" t="s">
        <v>221</v>
      </c>
      <c r="D66" s="10"/>
      <c r="E66" s="10"/>
      <c r="F66" s="10"/>
    </row>
    <row r="67" spans="1:6" x14ac:dyDescent="0.2">
      <c r="A67" s="5" t="s">
        <v>65</v>
      </c>
      <c r="B67" s="5" t="s">
        <v>122</v>
      </c>
      <c r="C67" s="5" t="s">
        <v>194</v>
      </c>
      <c r="D67" s="10"/>
      <c r="E67" s="10"/>
      <c r="F67" s="10"/>
    </row>
    <row r="68" spans="1:6" x14ac:dyDescent="0.2">
      <c r="A68" s="5" t="s">
        <v>74</v>
      </c>
      <c r="B68" s="5" t="s">
        <v>158</v>
      </c>
      <c r="C68" s="5" t="s">
        <v>185</v>
      </c>
      <c r="D68" s="10"/>
      <c r="E68" s="10"/>
      <c r="F68" s="10"/>
    </row>
    <row r="70" spans="1:6" ht="17" x14ac:dyDescent="0.2">
      <c r="A70" s="8" t="s">
        <v>243</v>
      </c>
      <c r="B70" s="9"/>
      <c r="C70" s="9"/>
      <c r="D70" s="9"/>
      <c r="E70" s="9"/>
      <c r="F70" s="9"/>
    </row>
    <row r="71" spans="1:6" x14ac:dyDescent="0.2">
      <c r="A71" s="4" t="s">
        <v>2</v>
      </c>
      <c r="B71" s="4" t="s">
        <v>233</v>
      </c>
      <c r="C71" s="4" t="s">
        <v>234</v>
      </c>
      <c r="D71" s="4" t="s">
        <v>235</v>
      </c>
      <c r="E71" s="4" t="s">
        <v>236</v>
      </c>
      <c r="F71" s="4" t="s">
        <v>237</v>
      </c>
    </row>
    <row r="72" spans="1:6" x14ac:dyDescent="0.2">
      <c r="A72" s="5" t="s">
        <v>11</v>
      </c>
      <c r="B72" s="5" t="s">
        <v>122</v>
      </c>
      <c r="C72" s="5" t="s">
        <v>140</v>
      </c>
      <c r="D72" s="10"/>
      <c r="E72" s="10"/>
      <c r="F72" s="10"/>
    </row>
    <row r="73" spans="1:6" x14ac:dyDescent="0.2">
      <c r="A73" s="5" t="s">
        <v>20</v>
      </c>
      <c r="B73" s="5" t="s">
        <v>104</v>
      </c>
      <c r="C73" s="5" t="s">
        <v>131</v>
      </c>
      <c r="D73" s="10"/>
      <c r="E73" s="10"/>
      <c r="F73" s="10"/>
    </row>
    <row r="74" spans="1:6" x14ac:dyDescent="0.2">
      <c r="A74" s="5" t="s">
        <v>29</v>
      </c>
      <c r="B74" s="5" t="s">
        <v>149</v>
      </c>
      <c r="C74" s="5" t="s">
        <v>212</v>
      </c>
      <c r="D74" s="10"/>
      <c r="E74" s="10"/>
      <c r="F74" s="10"/>
    </row>
    <row r="75" spans="1:6" x14ac:dyDescent="0.2">
      <c r="A75" s="5" t="s">
        <v>38</v>
      </c>
      <c r="B75" s="5" t="s">
        <v>86</v>
      </c>
      <c r="C75" s="5" t="s">
        <v>176</v>
      </c>
      <c r="D75" s="10"/>
      <c r="E75" s="10"/>
      <c r="F75" s="10"/>
    </row>
    <row r="76" spans="1:6" x14ac:dyDescent="0.2">
      <c r="A76" s="5" t="s">
        <v>47</v>
      </c>
      <c r="B76" s="5" t="s">
        <v>95</v>
      </c>
      <c r="C76" s="5" t="s">
        <v>185</v>
      </c>
      <c r="D76" s="10"/>
      <c r="E76" s="10"/>
      <c r="F76" s="10"/>
    </row>
    <row r="77" spans="1:6" x14ac:dyDescent="0.2">
      <c r="A77" s="5" t="s">
        <v>56</v>
      </c>
      <c r="B77" s="5" t="s">
        <v>167</v>
      </c>
      <c r="C77" s="5" t="s">
        <v>194</v>
      </c>
      <c r="D77" s="10"/>
      <c r="E77" s="10"/>
      <c r="F77" s="10"/>
    </row>
    <row r="78" spans="1:6" x14ac:dyDescent="0.2">
      <c r="A78" s="5" t="s">
        <v>65</v>
      </c>
      <c r="B78" s="5" t="s">
        <v>158</v>
      </c>
      <c r="C78" s="5" t="s">
        <v>203</v>
      </c>
      <c r="D78" s="10"/>
      <c r="E78" s="10"/>
      <c r="F78" s="10"/>
    </row>
    <row r="79" spans="1:6" x14ac:dyDescent="0.2">
      <c r="A79" s="5" t="s">
        <v>74</v>
      </c>
      <c r="B79" s="5" t="s">
        <v>113</v>
      </c>
      <c r="C79" s="5" t="s">
        <v>221</v>
      </c>
      <c r="D79" s="10"/>
      <c r="E79" s="10"/>
      <c r="F79" s="10"/>
    </row>
    <row r="81" spans="1:6" ht="17" x14ac:dyDescent="0.2">
      <c r="A81" s="8" t="s">
        <v>244</v>
      </c>
      <c r="B81" s="9"/>
      <c r="C81" s="9"/>
      <c r="D81" s="9"/>
      <c r="E81" s="9"/>
      <c r="F81" s="9"/>
    </row>
    <row r="82" spans="1:6" x14ac:dyDescent="0.2">
      <c r="A82" s="4" t="s">
        <v>2</v>
      </c>
      <c r="B82" s="4" t="s">
        <v>233</v>
      </c>
      <c r="C82" s="4" t="s">
        <v>234</v>
      </c>
      <c r="D82" s="4" t="s">
        <v>235</v>
      </c>
      <c r="E82" s="4" t="s">
        <v>236</v>
      </c>
      <c r="F82" s="4" t="s">
        <v>237</v>
      </c>
    </row>
    <row r="83" spans="1:6" x14ac:dyDescent="0.2">
      <c r="A83" s="5" t="s">
        <v>11</v>
      </c>
      <c r="B83" s="5" t="s">
        <v>131</v>
      </c>
      <c r="C83" s="5" t="s">
        <v>221</v>
      </c>
      <c r="D83" s="10"/>
      <c r="E83" s="10"/>
      <c r="F83" s="10"/>
    </row>
    <row r="84" spans="1:6" x14ac:dyDescent="0.2">
      <c r="A84" s="5" t="s">
        <v>20</v>
      </c>
      <c r="B84" s="5" t="s">
        <v>194</v>
      </c>
      <c r="C84" s="5" t="s">
        <v>212</v>
      </c>
      <c r="D84" s="10"/>
      <c r="E84" s="10"/>
      <c r="F84" s="10"/>
    </row>
    <row r="85" spans="1:6" x14ac:dyDescent="0.2">
      <c r="A85" s="5" t="s">
        <v>29</v>
      </c>
      <c r="B85" s="5" t="s">
        <v>113</v>
      </c>
      <c r="C85" s="5" t="s">
        <v>203</v>
      </c>
      <c r="D85" s="10"/>
      <c r="E85" s="10"/>
      <c r="F85" s="10"/>
    </row>
    <row r="86" spans="1:6" x14ac:dyDescent="0.2">
      <c r="A86" s="5" t="s">
        <v>38</v>
      </c>
      <c r="B86" s="5" t="s">
        <v>122</v>
      </c>
      <c r="C86" s="5" t="s">
        <v>185</v>
      </c>
      <c r="D86" s="10"/>
      <c r="E86" s="10"/>
      <c r="F86" s="10"/>
    </row>
    <row r="87" spans="1:6" x14ac:dyDescent="0.2">
      <c r="A87" s="5" t="s">
        <v>47</v>
      </c>
      <c r="B87" s="5" t="s">
        <v>140</v>
      </c>
      <c r="C87" s="5" t="s">
        <v>158</v>
      </c>
      <c r="D87" s="10"/>
      <c r="E87" s="10"/>
      <c r="F87" s="10"/>
    </row>
    <row r="88" spans="1:6" x14ac:dyDescent="0.2">
      <c r="A88" s="5" t="s">
        <v>56</v>
      </c>
      <c r="B88" s="5" t="s">
        <v>86</v>
      </c>
      <c r="C88" s="5" t="s">
        <v>104</v>
      </c>
      <c r="D88" s="10"/>
      <c r="E88" s="10"/>
      <c r="F88" s="10"/>
    </row>
    <row r="89" spans="1:6" x14ac:dyDescent="0.2">
      <c r="A89" s="5" t="s">
        <v>65</v>
      </c>
      <c r="B89" s="5" t="s">
        <v>95</v>
      </c>
      <c r="C89" s="5" t="s">
        <v>167</v>
      </c>
      <c r="D89" s="10"/>
      <c r="E89" s="10"/>
      <c r="F89" s="10"/>
    </row>
    <row r="90" spans="1:6" x14ac:dyDescent="0.2">
      <c r="A90" s="5" t="s">
        <v>74</v>
      </c>
      <c r="B90" s="5" t="s">
        <v>149</v>
      </c>
      <c r="C90" s="5" t="s">
        <v>176</v>
      </c>
      <c r="D90" s="10"/>
      <c r="E90" s="10"/>
      <c r="F9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abSelected="1" zoomScaleNormal="100" workbookViewId="0">
      <pane ySplit="1" topLeftCell="A3" activePane="bottomLeft" state="frozen"/>
      <selection pane="bottomLeft" activeCell="F2" sqref="F2"/>
    </sheetView>
  </sheetViews>
  <sheetFormatPr baseColWidth="10" defaultColWidth="8.6640625" defaultRowHeight="15" x14ac:dyDescent="0.2"/>
  <cols>
    <col min="1" max="2" width="8" customWidth="1"/>
    <col min="3" max="4" width="10" customWidth="1"/>
    <col min="5" max="5" width="14" customWidth="1"/>
    <col min="6" max="6" width="20" customWidth="1"/>
  </cols>
  <sheetData>
    <row r="1" spans="1:6" x14ac:dyDescent="0.2">
      <c r="A1" s="3" t="s">
        <v>2</v>
      </c>
      <c r="B1" s="3" t="s">
        <v>245</v>
      </c>
      <c r="C1" s="3" t="s">
        <v>246</v>
      </c>
      <c r="D1" s="3" t="s">
        <v>247</v>
      </c>
      <c r="E1" s="3" t="s">
        <v>248</v>
      </c>
      <c r="F1" s="3" t="s">
        <v>249</v>
      </c>
    </row>
    <row r="2" spans="1:6" x14ac:dyDescent="0.2">
      <c r="A2" s="5">
        <v>1</v>
      </c>
      <c r="B2" s="5">
        <v>1</v>
      </c>
      <c r="C2" s="5" t="s">
        <v>185</v>
      </c>
      <c r="D2" s="5" t="s">
        <v>194</v>
      </c>
      <c r="E2" s="5" t="str">
        <f t="shared" ref="E2:E33" si="0">IF(C2&lt;D2,C2&amp;"-"&amp;D2,D2&amp;"-"&amp;C2)</f>
        <v>6B-7A</v>
      </c>
      <c r="F2" s="5">
        <f t="shared" ref="F2:F33" si="1">IF(LEFT(C2,1)=LEFT(D2,1),1,0)</f>
        <v>0</v>
      </c>
    </row>
    <row r="3" spans="1:6" x14ac:dyDescent="0.2">
      <c r="A3" s="5">
        <v>1</v>
      </c>
      <c r="B3" s="5">
        <v>2</v>
      </c>
      <c r="C3" s="5" t="s">
        <v>86</v>
      </c>
      <c r="D3" s="5" t="s">
        <v>167</v>
      </c>
      <c r="E3" s="5" t="str">
        <f t="shared" si="0"/>
        <v>1A-5B</v>
      </c>
      <c r="F3" s="5">
        <f t="shared" si="1"/>
        <v>0</v>
      </c>
    </row>
    <row r="4" spans="1:6" x14ac:dyDescent="0.2">
      <c r="A4" s="5">
        <v>1</v>
      </c>
      <c r="B4" s="5">
        <v>3</v>
      </c>
      <c r="C4" s="5" t="s">
        <v>149</v>
      </c>
      <c r="D4" s="5" t="s">
        <v>203</v>
      </c>
      <c r="E4" s="5" t="str">
        <f t="shared" si="0"/>
        <v>4B-7B</v>
      </c>
      <c r="F4" s="5">
        <f t="shared" si="1"/>
        <v>0</v>
      </c>
    </row>
    <row r="5" spans="1:6" x14ac:dyDescent="0.2">
      <c r="A5" s="5">
        <v>1</v>
      </c>
      <c r="B5" s="5">
        <v>4</v>
      </c>
      <c r="C5" s="5" t="s">
        <v>95</v>
      </c>
      <c r="D5" s="5" t="s">
        <v>176</v>
      </c>
      <c r="E5" s="5" t="str">
        <f t="shared" si="0"/>
        <v>1B-6A</v>
      </c>
      <c r="F5" s="5">
        <f t="shared" si="1"/>
        <v>0</v>
      </c>
    </row>
    <row r="6" spans="1:6" x14ac:dyDescent="0.2">
      <c r="A6" s="5">
        <v>1</v>
      </c>
      <c r="B6" s="5">
        <v>5</v>
      </c>
      <c r="C6" s="5" t="s">
        <v>104</v>
      </c>
      <c r="D6" s="5" t="s">
        <v>158</v>
      </c>
      <c r="E6" s="5" t="str">
        <f t="shared" si="0"/>
        <v>2A-5A</v>
      </c>
      <c r="F6" s="5">
        <f t="shared" si="1"/>
        <v>0</v>
      </c>
    </row>
    <row r="7" spans="1:6" x14ac:dyDescent="0.2">
      <c r="A7" s="5">
        <v>1</v>
      </c>
      <c r="B7" s="5">
        <v>6</v>
      </c>
      <c r="C7" s="5" t="s">
        <v>113</v>
      </c>
      <c r="D7" s="5" t="s">
        <v>212</v>
      </c>
      <c r="E7" s="5" t="str">
        <f t="shared" si="0"/>
        <v>2B-8A</v>
      </c>
      <c r="F7" s="5">
        <f t="shared" si="1"/>
        <v>0</v>
      </c>
    </row>
    <row r="8" spans="1:6" x14ac:dyDescent="0.2">
      <c r="A8" s="5">
        <v>1</v>
      </c>
      <c r="B8" s="5">
        <v>7</v>
      </c>
      <c r="C8" s="5" t="s">
        <v>122</v>
      </c>
      <c r="D8" s="5" t="s">
        <v>140</v>
      </c>
      <c r="E8" s="5" t="str">
        <f t="shared" si="0"/>
        <v>3A-4A</v>
      </c>
      <c r="F8" s="5">
        <f t="shared" si="1"/>
        <v>0</v>
      </c>
    </row>
    <row r="9" spans="1:6" x14ac:dyDescent="0.2">
      <c r="A9" s="5">
        <v>1</v>
      </c>
      <c r="B9" s="5">
        <v>8</v>
      </c>
      <c r="C9" s="5" t="s">
        <v>131</v>
      </c>
      <c r="D9" s="5" t="s">
        <v>221</v>
      </c>
      <c r="E9" s="5" t="str">
        <f t="shared" si="0"/>
        <v>3B-8B</v>
      </c>
      <c r="F9" s="5">
        <f t="shared" si="1"/>
        <v>0</v>
      </c>
    </row>
    <row r="10" spans="1:6" x14ac:dyDescent="0.2">
      <c r="A10" s="5">
        <v>2</v>
      </c>
      <c r="B10" s="5">
        <v>1</v>
      </c>
      <c r="C10" s="5" t="s">
        <v>149</v>
      </c>
      <c r="D10" s="5" t="s">
        <v>167</v>
      </c>
      <c r="E10" s="5" t="str">
        <f t="shared" si="0"/>
        <v>4B-5B</v>
      </c>
      <c r="F10" s="5">
        <f t="shared" si="1"/>
        <v>0</v>
      </c>
    </row>
    <row r="11" spans="1:6" x14ac:dyDescent="0.2">
      <c r="A11" s="5">
        <v>2</v>
      </c>
      <c r="B11" s="5">
        <v>2</v>
      </c>
      <c r="C11" s="5" t="s">
        <v>158</v>
      </c>
      <c r="D11" s="5" t="s">
        <v>176</v>
      </c>
      <c r="E11" s="5" t="str">
        <f t="shared" si="0"/>
        <v>5A-6A</v>
      </c>
      <c r="F11" s="5">
        <f t="shared" si="1"/>
        <v>0</v>
      </c>
    </row>
    <row r="12" spans="1:6" x14ac:dyDescent="0.2">
      <c r="A12" s="5">
        <v>2</v>
      </c>
      <c r="B12" s="5">
        <v>3</v>
      </c>
      <c r="C12" s="5" t="s">
        <v>86</v>
      </c>
      <c r="D12" s="5" t="s">
        <v>122</v>
      </c>
      <c r="E12" s="5" t="str">
        <f t="shared" si="0"/>
        <v>1A-3A</v>
      </c>
      <c r="F12" s="5">
        <f t="shared" si="1"/>
        <v>0</v>
      </c>
    </row>
    <row r="13" spans="1:6" x14ac:dyDescent="0.2">
      <c r="A13" s="5">
        <v>2</v>
      </c>
      <c r="B13" s="5">
        <v>4</v>
      </c>
      <c r="C13" s="5" t="s">
        <v>113</v>
      </c>
      <c r="D13" s="5" t="s">
        <v>185</v>
      </c>
      <c r="E13" s="5" t="str">
        <f t="shared" si="0"/>
        <v>2B-6B</v>
      </c>
      <c r="F13" s="5">
        <f t="shared" si="1"/>
        <v>0</v>
      </c>
    </row>
    <row r="14" spans="1:6" x14ac:dyDescent="0.2">
      <c r="A14" s="5">
        <v>2</v>
      </c>
      <c r="B14" s="5">
        <v>5</v>
      </c>
      <c r="C14" s="5" t="s">
        <v>95</v>
      </c>
      <c r="D14" s="5" t="s">
        <v>221</v>
      </c>
      <c r="E14" s="5" t="str">
        <f t="shared" si="0"/>
        <v>1B-8B</v>
      </c>
      <c r="F14" s="5">
        <f t="shared" si="1"/>
        <v>0</v>
      </c>
    </row>
    <row r="15" spans="1:6" x14ac:dyDescent="0.2">
      <c r="A15" s="5">
        <v>2</v>
      </c>
      <c r="B15" s="5">
        <v>6</v>
      </c>
      <c r="C15" s="5" t="s">
        <v>140</v>
      </c>
      <c r="D15" s="5" t="s">
        <v>203</v>
      </c>
      <c r="E15" s="5" t="str">
        <f t="shared" si="0"/>
        <v>4A-7B</v>
      </c>
      <c r="F15" s="5">
        <f t="shared" si="1"/>
        <v>0</v>
      </c>
    </row>
    <row r="16" spans="1:6" x14ac:dyDescent="0.2">
      <c r="A16" s="5">
        <v>2</v>
      </c>
      <c r="B16" s="5">
        <v>7</v>
      </c>
      <c r="C16" s="5" t="s">
        <v>104</v>
      </c>
      <c r="D16" s="5" t="s">
        <v>131</v>
      </c>
      <c r="E16" s="5" t="str">
        <f t="shared" si="0"/>
        <v>2A-3B</v>
      </c>
      <c r="F16" s="5">
        <f t="shared" si="1"/>
        <v>0</v>
      </c>
    </row>
    <row r="17" spans="1:6" x14ac:dyDescent="0.2">
      <c r="A17" s="5">
        <v>2</v>
      </c>
      <c r="B17" s="5">
        <v>8</v>
      </c>
      <c r="C17" s="5" t="s">
        <v>194</v>
      </c>
      <c r="D17" s="5" t="s">
        <v>212</v>
      </c>
      <c r="E17" s="5" t="str">
        <f t="shared" si="0"/>
        <v>7A-8A</v>
      </c>
      <c r="F17" s="5">
        <f t="shared" si="1"/>
        <v>0</v>
      </c>
    </row>
    <row r="18" spans="1:6" x14ac:dyDescent="0.2">
      <c r="A18" s="5">
        <v>3</v>
      </c>
      <c r="B18" s="5">
        <v>1</v>
      </c>
      <c r="C18" s="5" t="s">
        <v>122</v>
      </c>
      <c r="D18" s="5" t="s">
        <v>158</v>
      </c>
      <c r="E18" s="5" t="str">
        <f t="shared" si="0"/>
        <v>3A-5A</v>
      </c>
      <c r="F18" s="5">
        <f t="shared" si="1"/>
        <v>0</v>
      </c>
    </row>
    <row r="19" spans="1:6" x14ac:dyDescent="0.2">
      <c r="A19" s="5">
        <v>3</v>
      </c>
      <c r="B19" s="5">
        <v>2</v>
      </c>
      <c r="C19" s="5" t="s">
        <v>194</v>
      </c>
      <c r="D19" s="5" t="s">
        <v>221</v>
      </c>
      <c r="E19" s="5" t="str">
        <f t="shared" si="0"/>
        <v>7A-8B</v>
      </c>
      <c r="F19" s="5">
        <f t="shared" si="1"/>
        <v>0</v>
      </c>
    </row>
    <row r="20" spans="1:6" x14ac:dyDescent="0.2">
      <c r="A20" s="5">
        <v>3</v>
      </c>
      <c r="B20" s="5">
        <v>3</v>
      </c>
      <c r="C20" s="5" t="s">
        <v>95</v>
      </c>
      <c r="D20" s="5" t="s">
        <v>131</v>
      </c>
      <c r="E20" s="5" t="str">
        <f t="shared" si="0"/>
        <v>1B-3B</v>
      </c>
      <c r="F20" s="5">
        <f t="shared" si="1"/>
        <v>0</v>
      </c>
    </row>
    <row r="21" spans="1:6" x14ac:dyDescent="0.2">
      <c r="A21" s="5">
        <v>3</v>
      </c>
      <c r="B21" s="5">
        <v>4</v>
      </c>
      <c r="C21" s="5" t="s">
        <v>104</v>
      </c>
      <c r="D21" s="5" t="s">
        <v>140</v>
      </c>
      <c r="E21" s="5" t="str">
        <f t="shared" si="0"/>
        <v>2A-4A</v>
      </c>
      <c r="F21" s="5">
        <f t="shared" si="1"/>
        <v>0</v>
      </c>
    </row>
    <row r="22" spans="1:6" x14ac:dyDescent="0.2">
      <c r="A22" s="5">
        <v>3</v>
      </c>
      <c r="B22" s="5">
        <v>5</v>
      </c>
      <c r="C22" s="5" t="s">
        <v>86</v>
      </c>
      <c r="D22" s="5" t="s">
        <v>185</v>
      </c>
      <c r="E22" s="5" t="str">
        <f t="shared" si="0"/>
        <v>1A-6B</v>
      </c>
      <c r="F22" s="5">
        <f t="shared" si="1"/>
        <v>0</v>
      </c>
    </row>
    <row r="23" spans="1:6" x14ac:dyDescent="0.2">
      <c r="A23" s="5">
        <v>3</v>
      </c>
      <c r="B23" s="5">
        <v>6</v>
      </c>
      <c r="C23" s="5" t="s">
        <v>167</v>
      </c>
      <c r="D23" s="5" t="s">
        <v>176</v>
      </c>
      <c r="E23" s="5" t="str">
        <f t="shared" si="0"/>
        <v>5B-6A</v>
      </c>
      <c r="F23" s="5">
        <f t="shared" si="1"/>
        <v>0</v>
      </c>
    </row>
    <row r="24" spans="1:6" x14ac:dyDescent="0.2">
      <c r="A24" s="5">
        <v>3</v>
      </c>
      <c r="B24" s="5">
        <v>7</v>
      </c>
      <c r="C24" s="5" t="s">
        <v>149</v>
      </c>
      <c r="D24" s="5" t="s">
        <v>212</v>
      </c>
      <c r="E24" s="5" t="str">
        <f t="shared" si="0"/>
        <v>4B-8A</v>
      </c>
      <c r="F24" s="5">
        <f t="shared" si="1"/>
        <v>0</v>
      </c>
    </row>
    <row r="25" spans="1:6" x14ac:dyDescent="0.2">
      <c r="A25" s="5">
        <v>3</v>
      </c>
      <c r="B25" s="5">
        <v>8</v>
      </c>
      <c r="C25" s="5" t="s">
        <v>113</v>
      </c>
      <c r="D25" s="5" t="s">
        <v>203</v>
      </c>
      <c r="E25" s="5" t="str">
        <f t="shared" si="0"/>
        <v>2B-7B</v>
      </c>
      <c r="F25" s="5">
        <f t="shared" si="1"/>
        <v>0</v>
      </c>
    </row>
    <row r="26" spans="1:6" x14ac:dyDescent="0.2">
      <c r="A26" s="5">
        <v>4</v>
      </c>
      <c r="B26" s="5">
        <v>1</v>
      </c>
      <c r="C26" s="5" t="s">
        <v>131</v>
      </c>
      <c r="D26" s="5" t="s">
        <v>140</v>
      </c>
      <c r="E26" s="5" t="str">
        <f t="shared" si="0"/>
        <v>3B-4A</v>
      </c>
      <c r="F26" s="5">
        <f t="shared" si="1"/>
        <v>0</v>
      </c>
    </row>
    <row r="27" spans="1:6" x14ac:dyDescent="0.2">
      <c r="A27" s="5">
        <v>4</v>
      </c>
      <c r="B27" s="5">
        <v>2</v>
      </c>
      <c r="C27" s="5" t="s">
        <v>203</v>
      </c>
      <c r="D27" s="5" t="s">
        <v>212</v>
      </c>
      <c r="E27" s="5" t="str">
        <f t="shared" si="0"/>
        <v>7B-8A</v>
      </c>
      <c r="F27" s="5">
        <f t="shared" si="1"/>
        <v>0</v>
      </c>
    </row>
    <row r="28" spans="1:6" x14ac:dyDescent="0.2">
      <c r="A28" s="5">
        <v>4</v>
      </c>
      <c r="B28" s="5">
        <v>3</v>
      </c>
      <c r="C28" s="5" t="s">
        <v>158</v>
      </c>
      <c r="D28" s="5" t="s">
        <v>221</v>
      </c>
      <c r="E28" s="5" t="str">
        <f t="shared" si="0"/>
        <v>5A-8B</v>
      </c>
      <c r="F28" s="5">
        <f t="shared" si="1"/>
        <v>0</v>
      </c>
    </row>
    <row r="29" spans="1:6" x14ac:dyDescent="0.2">
      <c r="A29" s="5">
        <v>4</v>
      </c>
      <c r="B29" s="5">
        <v>4</v>
      </c>
      <c r="C29" s="5" t="s">
        <v>149</v>
      </c>
      <c r="D29" s="5" t="s">
        <v>194</v>
      </c>
      <c r="E29" s="5" t="str">
        <f t="shared" si="0"/>
        <v>4B-7A</v>
      </c>
      <c r="F29" s="5">
        <f t="shared" si="1"/>
        <v>0</v>
      </c>
    </row>
    <row r="30" spans="1:6" x14ac:dyDescent="0.2">
      <c r="A30" s="5">
        <v>4</v>
      </c>
      <c r="B30" s="5">
        <v>5</v>
      </c>
      <c r="C30" s="5" t="s">
        <v>113</v>
      </c>
      <c r="D30" s="5" t="s">
        <v>167</v>
      </c>
      <c r="E30" s="5" t="str">
        <f t="shared" si="0"/>
        <v>2B-5B</v>
      </c>
      <c r="F30" s="5">
        <f t="shared" si="1"/>
        <v>0</v>
      </c>
    </row>
    <row r="31" spans="1:6" x14ac:dyDescent="0.2">
      <c r="A31" s="5">
        <v>4</v>
      </c>
      <c r="B31" s="5">
        <v>6</v>
      </c>
      <c r="C31" s="5" t="s">
        <v>95</v>
      </c>
      <c r="D31" s="5" t="s">
        <v>104</v>
      </c>
      <c r="E31" s="5" t="str">
        <f t="shared" si="0"/>
        <v>1B-2A</v>
      </c>
      <c r="F31" s="5">
        <f t="shared" si="1"/>
        <v>0</v>
      </c>
    </row>
    <row r="32" spans="1:6" x14ac:dyDescent="0.2">
      <c r="A32" s="5">
        <v>4</v>
      </c>
      <c r="B32" s="5">
        <v>7</v>
      </c>
      <c r="C32" s="5" t="s">
        <v>86</v>
      </c>
      <c r="D32" s="5" t="s">
        <v>176</v>
      </c>
      <c r="E32" s="5" t="str">
        <f t="shared" si="0"/>
        <v>1A-6A</v>
      </c>
      <c r="F32" s="5">
        <f t="shared" si="1"/>
        <v>0</v>
      </c>
    </row>
    <row r="33" spans="1:6" x14ac:dyDescent="0.2">
      <c r="A33" s="5">
        <v>4</v>
      </c>
      <c r="B33" s="5">
        <v>8</v>
      </c>
      <c r="C33" s="5" t="s">
        <v>122</v>
      </c>
      <c r="D33" s="5" t="s">
        <v>185</v>
      </c>
      <c r="E33" s="5" t="str">
        <f t="shared" si="0"/>
        <v>3A-6B</v>
      </c>
      <c r="F33" s="5">
        <f t="shared" si="1"/>
        <v>0</v>
      </c>
    </row>
    <row r="34" spans="1:6" x14ac:dyDescent="0.2">
      <c r="A34" s="5">
        <v>5</v>
      </c>
      <c r="B34" s="5">
        <v>1</v>
      </c>
      <c r="C34" s="5" t="s">
        <v>203</v>
      </c>
      <c r="D34" s="5" t="s">
        <v>221</v>
      </c>
      <c r="E34" s="5" t="str">
        <f t="shared" ref="E34:E65" si="2">IF(C34&lt;D34,C34&amp;"-"&amp;D34,D34&amp;"-"&amp;C34)</f>
        <v>7B-8B</v>
      </c>
      <c r="F34" s="5">
        <f t="shared" ref="F34:F65" si="3">IF(LEFT(C34,1)=LEFT(D34,1),1,0)</f>
        <v>0</v>
      </c>
    </row>
    <row r="35" spans="1:6" x14ac:dyDescent="0.2">
      <c r="A35" s="5">
        <v>5</v>
      </c>
      <c r="B35" s="5">
        <v>2</v>
      </c>
      <c r="C35" s="5" t="s">
        <v>104</v>
      </c>
      <c r="D35" s="5" t="s">
        <v>149</v>
      </c>
      <c r="E35" s="5" t="str">
        <f t="shared" si="2"/>
        <v>2A-4B</v>
      </c>
      <c r="F35" s="5">
        <f t="shared" si="3"/>
        <v>0</v>
      </c>
    </row>
    <row r="36" spans="1:6" x14ac:dyDescent="0.2">
      <c r="A36" s="5">
        <v>5</v>
      </c>
      <c r="B36" s="5">
        <v>3</v>
      </c>
      <c r="C36" s="5" t="s">
        <v>113</v>
      </c>
      <c r="D36" s="5" t="s">
        <v>194</v>
      </c>
      <c r="E36" s="5" t="str">
        <f t="shared" si="2"/>
        <v>2B-7A</v>
      </c>
      <c r="F36" s="5">
        <f t="shared" si="3"/>
        <v>0</v>
      </c>
    </row>
    <row r="37" spans="1:6" x14ac:dyDescent="0.2">
      <c r="A37" s="5">
        <v>5</v>
      </c>
      <c r="B37" s="5">
        <v>4</v>
      </c>
      <c r="C37" s="5" t="s">
        <v>122</v>
      </c>
      <c r="D37" s="5" t="s">
        <v>167</v>
      </c>
      <c r="E37" s="5" t="str">
        <f t="shared" si="2"/>
        <v>3A-5B</v>
      </c>
      <c r="F37" s="5">
        <f t="shared" si="3"/>
        <v>0</v>
      </c>
    </row>
    <row r="38" spans="1:6" x14ac:dyDescent="0.2">
      <c r="A38" s="5">
        <v>5</v>
      </c>
      <c r="B38" s="5">
        <v>5</v>
      </c>
      <c r="C38" s="5" t="s">
        <v>176</v>
      </c>
      <c r="D38" s="5" t="s">
        <v>212</v>
      </c>
      <c r="E38" s="5" t="str">
        <f t="shared" si="2"/>
        <v>6A-8A</v>
      </c>
      <c r="F38" s="5">
        <f t="shared" si="3"/>
        <v>0</v>
      </c>
    </row>
    <row r="39" spans="1:6" x14ac:dyDescent="0.2">
      <c r="A39" s="5">
        <v>5</v>
      </c>
      <c r="B39" s="5">
        <v>6</v>
      </c>
      <c r="C39" s="5" t="s">
        <v>86</v>
      </c>
      <c r="D39" s="5" t="s">
        <v>131</v>
      </c>
      <c r="E39" s="5" t="str">
        <f t="shared" si="2"/>
        <v>1A-3B</v>
      </c>
      <c r="F39" s="5">
        <f t="shared" si="3"/>
        <v>0</v>
      </c>
    </row>
    <row r="40" spans="1:6" x14ac:dyDescent="0.2">
      <c r="A40" s="5">
        <v>5</v>
      </c>
      <c r="B40" s="5">
        <v>7</v>
      </c>
      <c r="C40" s="5" t="s">
        <v>95</v>
      </c>
      <c r="D40" s="5" t="s">
        <v>185</v>
      </c>
      <c r="E40" s="5" t="str">
        <f t="shared" si="2"/>
        <v>1B-6B</v>
      </c>
      <c r="F40" s="5">
        <f t="shared" si="3"/>
        <v>0</v>
      </c>
    </row>
    <row r="41" spans="1:6" x14ac:dyDescent="0.2">
      <c r="A41" s="5">
        <v>5</v>
      </c>
      <c r="B41" s="5">
        <v>8</v>
      </c>
      <c r="C41" s="5" t="s">
        <v>140</v>
      </c>
      <c r="D41" s="5" t="s">
        <v>158</v>
      </c>
      <c r="E41" s="5" t="str">
        <f t="shared" si="2"/>
        <v>4A-5A</v>
      </c>
      <c r="F41" s="5">
        <f t="shared" si="3"/>
        <v>0</v>
      </c>
    </row>
    <row r="42" spans="1:6" x14ac:dyDescent="0.2">
      <c r="A42" s="5">
        <v>6</v>
      </c>
      <c r="B42" s="5">
        <v>1</v>
      </c>
      <c r="C42" s="5" t="s">
        <v>95</v>
      </c>
      <c r="D42" s="5" t="s">
        <v>113</v>
      </c>
      <c r="E42" s="5" t="str">
        <f t="shared" si="2"/>
        <v>1B-2B</v>
      </c>
      <c r="F42" s="5">
        <f t="shared" si="3"/>
        <v>0</v>
      </c>
    </row>
    <row r="43" spans="1:6" x14ac:dyDescent="0.2">
      <c r="A43" s="5">
        <v>6</v>
      </c>
      <c r="B43" s="5">
        <v>2</v>
      </c>
      <c r="C43" s="5" t="s">
        <v>131</v>
      </c>
      <c r="D43" s="5" t="s">
        <v>185</v>
      </c>
      <c r="E43" s="5" t="str">
        <f t="shared" si="2"/>
        <v>3B-6B</v>
      </c>
      <c r="F43" s="5">
        <f t="shared" si="3"/>
        <v>0</v>
      </c>
    </row>
    <row r="44" spans="1:6" x14ac:dyDescent="0.2">
      <c r="A44" s="5">
        <v>6</v>
      </c>
      <c r="B44" s="5">
        <v>3</v>
      </c>
      <c r="C44" s="5" t="s">
        <v>140</v>
      </c>
      <c r="D44" s="5" t="s">
        <v>176</v>
      </c>
      <c r="E44" s="5" t="str">
        <f t="shared" si="2"/>
        <v>4A-6A</v>
      </c>
      <c r="F44" s="5">
        <f t="shared" si="3"/>
        <v>0</v>
      </c>
    </row>
    <row r="45" spans="1:6" x14ac:dyDescent="0.2">
      <c r="A45" s="5">
        <v>6</v>
      </c>
      <c r="B45" s="5">
        <v>4</v>
      </c>
      <c r="C45" s="5" t="s">
        <v>158</v>
      </c>
      <c r="D45" s="5" t="s">
        <v>212</v>
      </c>
      <c r="E45" s="5" t="str">
        <f t="shared" si="2"/>
        <v>5A-8A</v>
      </c>
      <c r="F45" s="5">
        <f t="shared" si="3"/>
        <v>0</v>
      </c>
    </row>
    <row r="46" spans="1:6" x14ac:dyDescent="0.2">
      <c r="A46" s="5">
        <v>6</v>
      </c>
      <c r="B46" s="5">
        <v>5</v>
      </c>
      <c r="C46" s="5" t="s">
        <v>122</v>
      </c>
      <c r="D46" s="5" t="s">
        <v>203</v>
      </c>
      <c r="E46" s="5" t="str">
        <f t="shared" si="2"/>
        <v>3A-7B</v>
      </c>
      <c r="F46" s="5">
        <f t="shared" si="3"/>
        <v>0</v>
      </c>
    </row>
    <row r="47" spans="1:6" x14ac:dyDescent="0.2">
      <c r="A47" s="5">
        <v>6</v>
      </c>
      <c r="B47" s="5">
        <v>6</v>
      </c>
      <c r="C47" s="5" t="s">
        <v>149</v>
      </c>
      <c r="D47" s="5" t="s">
        <v>221</v>
      </c>
      <c r="E47" s="5" t="str">
        <f t="shared" si="2"/>
        <v>4B-8B</v>
      </c>
      <c r="F47" s="5">
        <f t="shared" si="3"/>
        <v>0</v>
      </c>
    </row>
    <row r="48" spans="1:6" x14ac:dyDescent="0.2">
      <c r="A48" s="5">
        <v>6</v>
      </c>
      <c r="B48" s="5">
        <v>7</v>
      </c>
      <c r="C48" s="5" t="s">
        <v>167</v>
      </c>
      <c r="D48" s="5" t="s">
        <v>194</v>
      </c>
      <c r="E48" s="5" t="str">
        <f t="shared" si="2"/>
        <v>5B-7A</v>
      </c>
      <c r="F48" s="5">
        <f t="shared" si="3"/>
        <v>0</v>
      </c>
    </row>
    <row r="49" spans="1:6" x14ac:dyDescent="0.2">
      <c r="A49" s="5">
        <v>6</v>
      </c>
      <c r="B49" s="5">
        <v>8</v>
      </c>
      <c r="C49" s="5" t="s">
        <v>86</v>
      </c>
      <c r="D49" s="5" t="s">
        <v>104</v>
      </c>
      <c r="E49" s="5" t="str">
        <f t="shared" si="2"/>
        <v>1A-2A</v>
      </c>
      <c r="F49" s="5">
        <f t="shared" si="3"/>
        <v>0</v>
      </c>
    </row>
    <row r="50" spans="1:6" x14ac:dyDescent="0.2">
      <c r="A50" s="5">
        <v>7</v>
      </c>
      <c r="B50" s="5">
        <v>1</v>
      </c>
      <c r="C50" s="5" t="s">
        <v>104</v>
      </c>
      <c r="D50" s="5" t="s">
        <v>176</v>
      </c>
      <c r="E50" s="5" t="str">
        <f t="shared" si="2"/>
        <v>2A-6A</v>
      </c>
      <c r="F50" s="5">
        <f t="shared" si="3"/>
        <v>0</v>
      </c>
    </row>
    <row r="51" spans="1:6" x14ac:dyDescent="0.2">
      <c r="A51" s="5">
        <v>7</v>
      </c>
      <c r="B51" s="5">
        <v>2</v>
      </c>
      <c r="C51" s="5" t="s">
        <v>113</v>
      </c>
      <c r="D51" s="5" t="s">
        <v>140</v>
      </c>
      <c r="E51" s="5" t="str">
        <f t="shared" si="2"/>
        <v>2B-4A</v>
      </c>
      <c r="F51" s="5">
        <f t="shared" si="3"/>
        <v>0</v>
      </c>
    </row>
    <row r="52" spans="1:6" x14ac:dyDescent="0.2">
      <c r="A52" s="5">
        <v>7</v>
      </c>
      <c r="B52" s="5">
        <v>3</v>
      </c>
      <c r="C52" s="5" t="s">
        <v>185</v>
      </c>
      <c r="D52" s="5" t="s">
        <v>212</v>
      </c>
      <c r="E52" s="5" t="str">
        <f t="shared" si="2"/>
        <v>6B-8A</v>
      </c>
      <c r="F52" s="5">
        <f t="shared" si="3"/>
        <v>0</v>
      </c>
    </row>
    <row r="53" spans="1:6" x14ac:dyDescent="0.2">
      <c r="A53" s="5">
        <v>7</v>
      </c>
      <c r="B53" s="5">
        <v>4</v>
      </c>
      <c r="C53" s="5" t="s">
        <v>86</v>
      </c>
      <c r="D53" s="5" t="s">
        <v>221</v>
      </c>
      <c r="E53" s="5" t="str">
        <f t="shared" si="2"/>
        <v>1A-8B</v>
      </c>
      <c r="F53" s="5">
        <f t="shared" si="3"/>
        <v>0</v>
      </c>
    </row>
    <row r="54" spans="1:6" x14ac:dyDescent="0.2">
      <c r="A54" s="5">
        <v>7</v>
      </c>
      <c r="B54" s="5">
        <v>5</v>
      </c>
      <c r="C54" s="5" t="s">
        <v>131</v>
      </c>
      <c r="D54" s="5" t="s">
        <v>149</v>
      </c>
      <c r="E54" s="5" t="str">
        <f t="shared" si="2"/>
        <v>3B-4B</v>
      </c>
      <c r="F54" s="5">
        <f t="shared" si="3"/>
        <v>0</v>
      </c>
    </row>
    <row r="55" spans="1:6" x14ac:dyDescent="0.2">
      <c r="A55" s="5">
        <v>7</v>
      </c>
      <c r="B55" s="5">
        <v>6</v>
      </c>
      <c r="C55" s="5" t="s">
        <v>122</v>
      </c>
      <c r="D55" s="5" t="s">
        <v>194</v>
      </c>
      <c r="E55" s="5" t="str">
        <f t="shared" si="2"/>
        <v>3A-7A</v>
      </c>
      <c r="F55" s="5">
        <f t="shared" si="3"/>
        <v>0</v>
      </c>
    </row>
    <row r="56" spans="1:6" x14ac:dyDescent="0.2">
      <c r="A56" s="5">
        <v>7</v>
      </c>
      <c r="B56" s="5">
        <v>7</v>
      </c>
      <c r="C56" s="5" t="s">
        <v>158</v>
      </c>
      <c r="D56" s="5" t="s">
        <v>203</v>
      </c>
      <c r="E56" s="5" t="str">
        <f t="shared" si="2"/>
        <v>5A-7B</v>
      </c>
      <c r="F56" s="5">
        <f t="shared" si="3"/>
        <v>0</v>
      </c>
    </row>
    <row r="57" spans="1:6" x14ac:dyDescent="0.2">
      <c r="A57" s="5">
        <v>7</v>
      </c>
      <c r="B57" s="5">
        <v>8</v>
      </c>
      <c r="C57" s="5" t="s">
        <v>95</v>
      </c>
      <c r="D57" s="5" t="s">
        <v>167</v>
      </c>
      <c r="E57" s="5" t="str">
        <f t="shared" si="2"/>
        <v>1B-5B</v>
      </c>
      <c r="F57" s="5">
        <f t="shared" si="3"/>
        <v>0</v>
      </c>
    </row>
    <row r="58" spans="1:6" x14ac:dyDescent="0.2">
      <c r="A58" s="5">
        <v>8</v>
      </c>
      <c r="B58" s="5">
        <v>1</v>
      </c>
      <c r="C58" s="5" t="s">
        <v>86</v>
      </c>
      <c r="D58" s="5" t="s">
        <v>212</v>
      </c>
      <c r="E58" s="5" t="str">
        <f t="shared" si="2"/>
        <v>1A-8A</v>
      </c>
      <c r="F58" s="5">
        <f t="shared" si="3"/>
        <v>0</v>
      </c>
    </row>
    <row r="59" spans="1:6" x14ac:dyDescent="0.2">
      <c r="A59" s="5">
        <v>8</v>
      </c>
      <c r="B59" s="5">
        <v>2</v>
      </c>
      <c r="C59" s="5" t="s">
        <v>95</v>
      </c>
      <c r="D59" s="5" t="s">
        <v>122</v>
      </c>
      <c r="E59" s="5" t="str">
        <f t="shared" si="2"/>
        <v>1B-3A</v>
      </c>
      <c r="F59" s="5">
        <f t="shared" si="3"/>
        <v>0</v>
      </c>
    </row>
    <row r="60" spans="1:6" x14ac:dyDescent="0.2">
      <c r="A60" s="5">
        <v>8</v>
      </c>
      <c r="B60" s="5">
        <v>3</v>
      </c>
      <c r="C60" s="5" t="s">
        <v>104</v>
      </c>
      <c r="D60" s="5" t="s">
        <v>167</v>
      </c>
      <c r="E60" s="5" t="str">
        <f t="shared" si="2"/>
        <v>2A-5B</v>
      </c>
      <c r="F60" s="5">
        <f t="shared" si="3"/>
        <v>0</v>
      </c>
    </row>
    <row r="61" spans="1:6" x14ac:dyDescent="0.2">
      <c r="A61" s="5">
        <v>8</v>
      </c>
      <c r="B61" s="5">
        <v>4</v>
      </c>
      <c r="C61" s="5" t="s">
        <v>131</v>
      </c>
      <c r="D61" s="5" t="s">
        <v>203</v>
      </c>
      <c r="E61" s="5" t="str">
        <f t="shared" si="2"/>
        <v>3B-7B</v>
      </c>
      <c r="F61" s="5">
        <f t="shared" si="3"/>
        <v>0</v>
      </c>
    </row>
    <row r="62" spans="1:6" x14ac:dyDescent="0.2">
      <c r="A62" s="5">
        <v>8</v>
      </c>
      <c r="B62" s="5">
        <v>5</v>
      </c>
      <c r="C62" s="5" t="s">
        <v>140</v>
      </c>
      <c r="D62" s="5" t="s">
        <v>194</v>
      </c>
      <c r="E62" s="5" t="str">
        <f t="shared" si="2"/>
        <v>4A-7A</v>
      </c>
      <c r="F62" s="5">
        <f t="shared" si="3"/>
        <v>0</v>
      </c>
    </row>
    <row r="63" spans="1:6" x14ac:dyDescent="0.2">
      <c r="A63" s="5">
        <v>8</v>
      </c>
      <c r="B63" s="5">
        <v>6</v>
      </c>
      <c r="C63" s="5" t="s">
        <v>158</v>
      </c>
      <c r="D63" s="5" t="s">
        <v>185</v>
      </c>
      <c r="E63" s="5" t="str">
        <f t="shared" si="2"/>
        <v>5A-6B</v>
      </c>
      <c r="F63" s="5">
        <f t="shared" si="3"/>
        <v>0</v>
      </c>
    </row>
    <row r="64" spans="1:6" x14ac:dyDescent="0.2">
      <c r="A64" s="5">
        <v>8</v>
      </c>
      <c r="B64" s="5">
        <v>7</v>
      </c>
      <c r="C64" s="5" t="s">
        <v>113</v>
      </c>
      <c r="D64" s="5" t="s">
        <v>221</v>
      </c>
      <c r="E64" s="5" t="str">
        <f t="shared" si="2"/>
        <v>2B-8B</v>
      </c>
      <c r="F64" s="5">
        <f t="shared" si="3"/>
        <v>0</v>
      </c>
    </row>
    <row r="65" spans="1:6" x14ac:dyDescent="0.2">
      <c r="A65" s="5">
        <v>8</v>
      </c>
      <c r="B65" s="5">
        <v>8</v>
      </c>
      <c r="C65" s="5" t="s">
        <v>149</v>
      </c>
      <c r="D65" s="5" t="s">
        <v>176</v>
      </c>
      <c r="E65" s="5" t="str">
        <f t="shared" si="2"/>
        <v>4B-6A</v>
      </c>
      <c r="F65" s="5">
        <f t="shared" si="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8"/>
  <sheetViews>
    <sheetView zoomScaleNormal="100" workbookViewId="0">
      <selection activeCell="D30" sqref="D30"/>
    </sheetView>
  </sheetViews>
  <sheetFormatPr baseColWidth="10" defaultColWidth="8.6640625" defaultRowHeight="15" x14ac:dyDescent="0.2"/>
  <cols>
    <col min="1" max="1" width="42" customWidth="1"/>
    <col min="2" max="9" width="8" customWidth="1"/>
    <col min="10" max="10" width="3" customWidth="1"/>
    <col min="11" max="11" width="10" customWidth="1"/>
    <col min="12" max="19" width="8" customWidth="1"/>
  </cols>
  <sheetData>
    <row r="1" spans="1:19" ht="20" x14ac:dyDescent="0.2">
      <c r="A1" s="1" t="s">
        <v>250</v>
      </c>
    </row>
    <row r="3" spans="1:19" x14ac:dyDescent="0.2">
      <c r="A3" s="11" t="s">
        <v>251</v>
      </c>
      <c r="K3" s="11" t="s">
        <v>252</v>
      </c>
    </row>
    <row r="4" spans="1:19" x14ac:dyDescent="0.2">
      <c r="A4" s="12" t="s">
        <v>85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K4" s="12" t="s">
        <v>85</v>
      </c>
      <c r="L4" s="12" t="s">
        <v>11</v>
      </c>
      <c r="M4" s="12" t="s">
        <v>20</v>
      </c>
      <c r="N4" s="12" t="s">
        <v>29</v>
      </c>
      <c r="O4" s="12" t="s">
        <v>38</v>
      </c>
      <c r="P4" s="12" t="s">
        <v>47</v>
      </c>
      <c r="Q4" s="12" t="s">
        <v>56</v>
      </c>
      <c r="R4" s="12" t="s">
        <v>65</v>
      </c>
      <c r="S4" s="12" t="s">
        <v>74</v>
      </c>
    </row>
    <row r="5" spans="1:19" x14ac:dyDescent="0.2">
      <c r="A5" s="13" t="s">
        <v>86</v>
      </c>
      <c r="B5" s="14">
        <f>COUNTIFS(ข้อมูลดิบ!$C$2:$C$65,$A5,ข้อมูลดิบ!$B$2:$B$65,1)+COUNTIFS(ข้อมูลดิบ!$D$2:$D$65,$A5,ข้อมูลดิบ!$B$2:$B$65,1)</f>
        <v>1</v>
      </c>
      <c r="C5" s="14">
        <f>COUNTIFS(ข้อมูลดิบ!$C$2:$C$65,$A5,ข้อมูลดิบ!$B$2:$B$65,2)+COUNTIFS(ข้อมูลดิบ!$D$2:$D$65,$A5,ข้อมูลดิบ!$B$2:$B$65,2)</f>
        <v>1</v>
      </c>
      <c r="D5" s="14">
        <f>COUNTIFS(ข้อมูลดิบ!$C$2:$C$65,$A5,ข้อมูลดิบ!$B$2:$B$65,3)+COUNTIFS(ข้อมูลดิบ!$D$2:$D$65,$A5,ข้อมูลดิบ!$B$2:$B$65,3)</f>
        <v>1</v>
      </c>
      <c r="E5" s="14">
        <f>COUNTIFS(ข้อมูลดิบ!$C$2:$C$65,$A5,ข้อมูลดิบ!$B$2:$B$65,4)+COUNTIFS(ข้อมูลดิบ!$D$2:$D$65,$A5,ข้อมูลดิบ!$B$2:$B$65,4)</f>
        <v>1</v>
      </c>
      <c r="F5" s="14">
        <f>COUNTIFS(ข้อมูลดิบ!$C$2:$C$65,$A5,ข้อมูลดิบ!$B$2:$B$65,5)+COUNTIFS(ข้อมูลดิบ!$D$2:$D$65,$A5,ข้อมูลดิบ!$B$2:$B$65,5)</f>
        <v>1</v>
      </c>
      <c r="G5" s="14">
        <f>COUNTIFS(ข้อมูลดิบ!$C$2:$C$65,$A5,ข้อมูลดิบ!$B$2:$B$65,6)+COUNTIFS(ข้อมูลดิบ!$D$2:$D$65,$A5,ข้อมูลดิบ!$B$2:$B$65,6)</f>
        <v>1</v>
      </c>
      <c r="H5" s="14">
        <f>COUNTIFS(ข้อมูลดิบ!$C$2:$C$65,$A5,ข้อมูลดิบ!$B$2:$B$65,7)+COUNTIFS(ข้อมูลดิบ!$D$2:$D$65,$A5,ข้อมูลดิบ!$B$2:$B$65,7)</f>
        <v>1</v>
      </c>
      <c r="I5" s="14">
        <f>COUNTIFS(ข้อมูลดิบ!$C$2:$C$65,$A5,ข้อมูลดิบ!$B$2:$B$65,8)+COUNTIFS(ข้อมูลดิบ!$D$2:$D$65,$A5,ข้อมูลดิบ!$B$2:$B$65,8)</f>
        <v>1</v>
      </c>
      <c r="K5" s="13" t="s">
        <v>86</v>
      </c>
      <c r="L5" s="14">
        <f>COUNTIFS(ข้อมูลดิบ!$C$2:$C$65,$K5,ข้อมูลดิบ!$A$2:$A$65,1)+COUNTIFS(ข้อมูลดิบ!$D$2:$D$65,$K5,ข้อมูลดิบ!$A$2:$A$65,1)</f>
        <v>1</v>
      </c>
      <c r="M5" s="14">
        <f>COUNTIFS(ข้อมูลดิบ!$C$2:$C$65,$K5,ข้อมูลดิบ!$A$2:$A$65,2)+COUNTIFS(ข้อมูลดิบ!$D$2:$D$65,$K5,ข้อมูลดิบ!$A$2:$A$65,2)</f>
        <v>1</v>
      </c>
      <c r="N5" s="14">
        <f>COUNTIFS(ข้อมูลดิบ!$C$2:$C$65,$K5,ข้อมูลดิบ!$A$2:$A$65,3)+COUNTIFS(ข้อมูลดิบ!$D$2:$D$65,$K5,ข้อมูลดิบ!$A$2:$A$65,3)</f>
        <v>1</v>
      </c>
      <c r="O5" s="14">
        <f>COUNTIFS(ข้อมูลดิบ!$C$2:$C$65,$K5,ข้อมูลดิบ!$A$2:$A$65,4)+COUNTIFS(ข้อมูลดิบ!$D$2:$D$65,$K5,ข้อมูลดิบ!$A$2:$A$65,4)</f>
        <v>1</v>
      </c>
      <c r="P5" s="14">
        <f>COUNTIFS(ข้อมูลดิบ!$C$2:$C$65,$K5,ข้อมูลดิบ!$A$2:$A$65,5)+COUNTIFS(ข้อมูลดิบ!$D$2:$D$65,$K5,ข้อมูลดิบ!$A$2:$A$65,5)</f>
        <v>1</v>
      </c>
      <c r="Q5" s="14">
        <f>COUNTIFS(ข้อมูลดิบ!$C$2:$C$65,$K5,ข้อมูลดิบ!$A$2:$A$65,6)+COUNTIFS(ข้อมูลดิบ!$D$2:$D$65,$K5,ข้อมูลดิบ!$A$2:$A$65,6)</f>
        <v>1</v>
      </c>
      <c r="R5" s="14">
        <f>COUNTIFS(ข้อมูลดิบ!$C$2:$C$65,$K5,ข้อมูลดิบ!$A$2:$A$65,7)+COUNTIFS(ข้อมูลดิบ!$D$2:$D$65,$K5,ข้อมูลดิบ!$A$2:$A$65,7)</f>
        <v>1</v>
      </c>
      <c r="S5" s="14">
        <f>COUNTIFS(ข้อมูลดิบ!$C$2:$C$65,$K5,ข้อมูลดิบ!$A$2:$A$65,8)+COUNTIFS(ข้อมูลดิบ!$D$2:$D$65,$K5,ข้อมูลดิบ!$A$2:$A$65,8)</f>
        <v>1</v>
      </c>
    </row>
    <row r="6" spans="1:19" x14ac:dyDescent="0.2">
      <c r="A6" s="13" t="s">
        <v>95</v>
      </c>
      <c r="B6" s="14">
        <f>COUNTIFS(ข้อมูลดิบ!$C$2:$C$65,$A6,ข้อมูลดิบ!$B$2:$B$65,1)+COUNTIFS(ข้อมูลดิบ!$D$2:$D$65,$A6,ข้อมูลดิบ!$B$2:$B$65,1)</f>
        <v>1</v>
      </c>
      <c r="C6" s="14">
        <f>COUNTIFS(ข้อมูลดิบ!$C$2:$C$65,$A6,ข้อมูลดิบ!$B$2:$B$65,2)+COUNTIFS(ข้อมูลดิบ!$D$2:$D$65,$A6,ข้อมูลดิบ!$B$2:$B$65,2)</f>
        <v>1</v>
      </c>
      <c r="D6" s="14">
        <f>COUNTIFS(ข้อมูลดิบ!$C$2:$C$65,$A6,ข้อมูลดิบ!$B$2:$B$65,3)+COUNTIFS(ข้อมูลดิบ!$D$2:$D$65,$A6,ข้อมูลดิบ!$B$2:$B$65,3)</f>
        <v>1</v>
      </c>
      <c r="E6" s="14">
        <f>COUNTIFS(ข้อมูลดิบ!$C$2:$C$65,$A6,ข้อมูลดิบ!$B$2:$B$65,4)+COUNTIFS(ข้อมูลดิบ!$D$2:$D$65,$A6,ข้อมูลดิบ!$B$2:$B$65,4)</f>
        <v>1</v>
      </c>
      <c r="F6" s="14">
        <f>COUNTIFS(ข้อมูลดิบ!$C$2:$C$65,$A6,ข้อมูลดิบ!$B$2:$B$65,5)+COUNTIFS(ข้อมูลดิบ!$D$2:$D$65,$A6,ข้อมูลดิบ!$B$2:$B$65,5)</f>
        <v>1</v>
      </c>
      <c r="G6" s="14">
        <f>COUNTIFS(ข้อมูลดิบ!$C$2:$C$65,$A6,ข้อมูลดิบ!$B$2:$B$65,6)+COUNTIFS(ข้อมูลดิบ!$D$2:$D$65,$A6,ข้อมูลดิบ!$B$2:$B$65,6)</f>
        <v>1</v>
      </c>
      <c r="H6" s="14">
        <f>COUNTIFS(ข้อมูลดิบ!$C$2:$C$65,$A6,ข้อมูลดิบ!$B$2:$B$65,7)+COUNTIFS(ข้อมูลดิบ!$D$2:$D$65,$A6,ข้อมูลดิบ!$B$2:$B$65,7)</f>
        <v>1</v>
      </c>
      <c r="I6" s="14">
        <f>COUNTIFS(ข้อมูลดิบ!$C$2:$C$65,$A6,ข้อมูลดิบ!$B$2:$B$65,8)+COUNTIFS(ข้อมูลดิบ!$D$2:$D$65,$A6,ข้อมูลดิบ!$B$2:$B$65,8)</f>
        <v>1</v>
      </c>
      <c r="K6" s="13" t="s">
        <v>95</v>
      </c>
      <c r="L6" s="14">
        <f>COUNTIFS(ข้อมูลดิบ!$C$2:$C$65,$K6,ข้อมูลดิบ!$A$2:$A$65,1)+COUNTIFS(ข้อมูลดิบ!$D$2:$D$65,$K6,ข้อมูลดิบ!$A$2:$A$65,1)</f>
        <v>1</v>
      </c>
      <c r="M6" s="14">
        <f>COUNTIFS(ข้อมูลดิบ!$C$2:$C$65,$K6,ข้อมูลดิบ!$A$2:$A$65,2)+COUNTIFS(ข้อมูลดิบ!$D$2:$D$65,$K6,ข้อมูลดิบ!$A$2:$A$65,2)</f>
        <v>1</v>
      </c>
      <c r="N6" s="14">
        <f>COUNTIFS(ข้อมูลดิบ!$C$2:$C$65,$K6,ข้อมูลดิบ!$A$2:$A$65,3)+COUNTIFS(ข้อมูลดิบ!$D$2:$D$65,$K6,ข้อมูลดิบ!$A$2:$A$65,3)</f>
        <v>1</v>
      </c>
      <c r="O6" s="14">
        <f>COUNTIFS(ข้อมูลดิบ!$C$2:$C$65,$K6,ข้อมูลดิบ!$A$2:$A$65,4)+COUNTIFS(ข้อมูลดิบ!$D$2:$D$65,$K6,ข้อมูลดิบ!$A$2:$A$65,4)</f>
        <v>1</v>
      </c>
      <c r="P6" s="14">
        <f>COUNTIFS(ข้อมูลดิบ!$C$2:$C$65,$K6,ข้อมูลดิบ!$A$2:$A$65,5)+COUNTIFS(ข้อมูลดิบ!$D$2:$D$65,$K6,ข้อมูลดิบ!$A$2:$A$65,5)</f>
        <v>1</v>
      </c>
      <c r="Q6" s="14">
        <f>COUNTIFS(ข้อมูลดิบ!$C$2:$C$65,$K6,ข้อมูลดิบ!$A$2:$A$65,6)+COUNTIFS(ข้อมูลดิบ!$D$2:$D$65,$K6,ข้อมูลดิบ!$A$2:$A$65,6)</f>
        <v>1</v>
      </c>
      <c r="R6" s="14">
        <f>COUNTIFS(ข้อมูลดิบ!$C$2:$C$65,$K6,ข้อมูลดิบ!$A$2:$A$65,7)+COUNTIFS(ข้อมูลดิบ!$D$2:$D$65,$K6,ข้อมูลดิบ!$A$2:$A$65,7)</f>
        <v>1</v>
      </c>
      <c r="S6" s="14">
        <f>COUNTIFS(ข้อมูลดิบ!$C$2:$C$65,$K6,ข้อมูลดิบ!$A$2:$A$65,8)+COUNTIFS(ข้อมูลดิบ!$D$2:$D$65,$K6,ข้อมูลดิบ!$A$2:$A$65,8)</f>
        <v>1</v>
      </c>
    </row>
    <row r="7" spans="1:19" x14ac:dyDescent="0.2">
      <c r="A7" s="13" t="s">
        <v>104</v>
      </c>
      <c r="B7" s="14">
        <f>COUNTIFS(ข้อมูลดิบ!$C$2:$C$65,$A7,ข้อมูลดิบ!$B$2:$B$65,1)+COUNTIFS(ข้อมูลดิบ!$D$2:$D$65,$A7,ข้อมูลดิบ!$B$2:$B$65,1)</f>
        <v>1</v>
      </c>
      <c r="C7" s="14">
        <f>COUNTIFS(ข้อมูลดิบ!$C$2:$C$65,$A7,ข้อมูลดิบ!$B$2:$B$65,2)+COUNTIFS(ข้อมูลดิบ!$D$2:$D$65,$A7,ข้อมูลดิบ!$B$2:$B$65,2)</f>
        <v>1</v>
      </c>
      <c r="D7" s="14">
        <f>COUNTIFS(ข้อมูลดิบ!$C$2:$C$65,$A7,ข้อมูลดิบ!$B$2:$B$65,3)+COUNTIFS(ข้อมูลดิบ!$D$2:$D$65,$A7,ข้อมูลดิบ!$B$2:$B$65,3)</f>
        <v>1</v>
      </c>
      <c r="E7" s="14">
        <f>COUNTIFS(ข้อมูลดิบ!$C$2:$C$65,$A7,ข้อมูลดิบ!$B$2:$B$65,4)+COUNTIFS(ข้อมูลดิบ!$D$2:$D$65,$A7,ข้อมูลดิบ!$B$2:$B$65,4)</f>
        <v>1</v>
      </c>
      <c r="F7" s="14">
        <f>COUNTIFS(ข้อมูลดิบ!$C$2:$C$65,$A7,ข้อมูลดิบ!$B$2:$B$65,5)+COUNTIFS(ข้อมูลดิบ!$D$2:$D$65,$A7,ข้อมูลดิบ!$B$2:$B$65,5)</f>
        <v>1</v>
      </c>
      <c r="G7" s="14">
        <f>COUNTIFS(ข้อมูลดิบ!$C$2:$C$65,$A7,ข้อมูลดิบ!$B$2:$B$65,6)+COUNTIFS(ข้อมูลดิบ!$D$2:$D$65,$A7,ข้อมูลดิบ!$B$2:$B$65,6)</f>
        <v>1</v>
      </c>
      <c r="H7" s="14">
        <f>COUNTIFS(ข้อมูลดิบ!$C$2:$C$65,$A7,ข้อมูลดิบ!$B$2:$B$65,7)+COUNTIFS(ข้อมูลดิบ!$D$2:$D$65,$A7,ข้อมูลดิบ!$B$2:$B$65,7)</f>
        <v>1</v>
      </c>
      <c r="I7" s="14">
        <f>COUNTIFS(ข้อมูลดิบ!$C$2:$C$65,$A7,ข้อมูลดิบ!$B$2:$B$65,8)+COUNTIFS(ข้อมูลดิบ!$D$2:$D$65,$A7,ข้อมูลดิบ!$B$2:$B$65,8)</f>
        <v>1</v>
      </c>
      <c r="K7" s="13" t="s">
        <v>104</v>
      </c>
      <c r="L7" s="14">
        <f>COUNTIFS(ข้อมูลดิบ!$C$2:$C$65,$K7,ข้อมูลดิบ!$A$2:$A$65,1)+COUNTIFS(ข้อมูลดิบ!$D$2:$D$65,$K7,ข้อมูลดิบ!$A$2:$A$65,1)</f>
        <v>1</v>
      </c>
      <c r="M7" s="14">
        <f>COUNTIFS(ข้อมูลดิบ!$C$2:$C$65,$K7,ข้อมูลดิบ!$A$2:$A$65,2)+COUNTIFS(ข้อมูลดิบ!$D$2:$D$65,$K7,ข้อมูลดิบ!$A$2:$A$65,2)</f>
        <v>1</v>
      </c>
      <c r="N7" s="14">
        <f>COUNTIFS(ข้อมูลดิบ!$C$2:$C$65,$K7,ข้อมูลดิบ!$A$2:$A$65,3)+COUNTIFS(ข้อมูลดิบ!$D$2:$D$65,$K7,ข้อมูลดิบ!$A$2:$A$65,3)</f>
        <v>1</v>
      </c>
      <c r="O7" s="14">
        <f>COUNTIFS(ข้อมูลดิบ!$C$2:$C$65,$K7,ข้อมูลดิบ!$A$2:$A$65,4)+COUNTIFS(ข้อมูลดิบ!$D$2:$D$65,$K7,ข้อมูลดิบ!$A$2:$A$65,4)</f>
        <v>1</v>
      </c>
      <c r="P7" s="14">
        <f>COUNTIFS(ข้อมูลดิบ!$C$2:$C$65,$K7,ข้อมูลดิบ!$A$2:$A$65,5)+COUNTIFS(ข้อมูลดิบ!$D$2:$D$65,$K7,ข้อมูลดิบ!$A$2:$A$65,5)</f>
        <v>1</v>
      </c>
      <c r="Q7" s="14">
        <f>COUNTIFS(ข้อมูลดิบ!$C$2:$C$65,$K7,ข้อมูลดิบ!$A$2:$A$65,6)+COUNTIFS(ข้อมูลดิบ!$D$2:$D$65,$K7,ข้อมูลดิบ!$A$2:$A$65,6)</f>
        <v>1</v>
      </c>
      <c r="R7" s="14">
        <f>COUNTIFS(ข้อมูลดิบ!$C$2:$C$65,$K7,ข้อมูลดิบ!$A$2:$A$65,7)+COUNTIFS(ข้อมูลดิบ!$D$2:$D$65,$K7,ข้อมูลดิบ!$A$2:$A$65,7)</f>
        <v>1</v>
      </c>
      <c r="S7" s="14">
        <f>COUNTIFS(ข้อมูลดิบ!$C$2:$C$65,$K7,ข้อมูลดิบ!$A$2:$A$65,8)+COUNTIFS(ข้อมูลดิบ!$D$2:$D$65,$K7,ข้อมูลดิบ!$A$2:$A$65,8)</f>
        <v>1</v>
      </c>
    </row>
    <row r="8" spans="1:19" x14ac:dyDescent="0.2">
      <c r="A8" s="13" t="s">
        <v>113</v>
      </c>
      <c r="B8" s="14">
        <f>COUNTIFS(ข้อมูลดิบ!$C$2:$C$65,$A8,ข้อมูลดิบ!$B$2:$B$65,1)+COUNTIFS(ข้อมูลดิบ!$D$2:$D$65,$A8,ข้อมูลดิบ!$B$2:$B$65,1)</f>
        <v>1</v>
      </c>
      <c r="C8" s="14">
        <f>COUNTIFS(ข้อมูลดิบ!$C$2:$C$65,$A8,ข้อมูลดิบ!$B$2:$B$65,2)+COUNTIFS(ข้อมูลดิบ!$D$2:$D$65,$A8,ข้อมูลดิบ!$B$2:$B$65,2)</f>
        <v>1</v>
      </c>
      <c r="D8" s="14">
        <f>COUNTIFS(ข้อมูลดิบ!$C$2:$C$65,$A8,ข้อมูลดิบ!$B$2:$B$65,3)+COUNTIFS(ข้อมูลดิบ!$D$2:$D$65,$A8,ข้อมูลดิบ!$B$2:$B$65,3)</f>
        <v>1</v>
      </c>
      <c r="E8" s="14">
        <f>COUNTIFS(ข้อมูลดิบ!$C$2:$C$65,$A8,ข้อมูลดิบ!$B$2:$B$65,4)+COUNTIFS(ข้อมูลดิบ!$D$2:$D$65,$A8,ข้อมูลดิบ!$B$2:$B$65,4)</f>
        <v>1</v>
      </c>
      <c r="F8" s="14">
        <f>COUNTIFS(ข้อมูลดิบ!$C$2:$C$65,$A8,ข้อมูลดิบ!$B$2:$B$65,5)+COUNTIFS(ข้อมูลดิบ!$D$2:$D$65,$A8,ข้อมูลดิบ!$B$2:$B$65,5)</f>
        <v>1</v>
      </c>
      <c r="G8" s="14">
        <f>COUNTIFS(ข้อมูลดิบ!$C$2:$C$65,$A8,ข้อมูลดิบ!$B$2:$B$65,6)+COUNTIFS(ข้อมูลดิบ!$D$2:$D$65,$A8,ข้อมูลดิบ!$B$2:$B$65,6)</f>
        <v>1</v>
      </c>
      <c r="H8" s="14">
        <f>COUNTIFS(ข้อมูลดิบ!$C$2:$C$65,$A8,ข้อมูลดิบ!$B$2:$B$65,7)+COUNTIFS(ข้อมูลดิบ!$D$2:$D$65,$A8,ข้อมูลดิบ!$B$2:$B$65,7)</f>
        <v>1</v>
      </c>
      <c r="I8" s="14">
        <f>COUNTIFS(ข้อมูลดิบ!$C$2:$C$65,$A8,ข้อมูลดิบ!$B$2:$B$65,8)+COUNTIFS(ข้อมูลดิบ!$D$2:$D$65,$A8,ข้อมูลดิบ!$B$2:$B$65,8)</f>
        <v>1</v>
      </c>
      <c r="K8" s="13" t="s">
        <v>113</v>
      </c>
      <c r="L8" s="14">
        <f>COUNTIFS(ข้อมูลดิบ!$C$2:$C$65,$K8,ข้อมูลดิบ!$A$2:$A$65,1)+COUNTIFS(ข้อมูลดิบ!$D$2:$D$65,$K8,ข้อมูลดิบ!$A$2:$A$65,1)</f>
        <v>1</v>
      </c>
      <c r="M8" s="14">
        <f>COUNTIFS(ข้อมูลดิบ!$C$2:$C$65,$K8,ข้อมูลดิบ!$A$2:$A$65,2)+COUNTIFS(ข้อมูลดิบ!$D$2:$D$65,$K8,ข้อมูลดิบ!$A$2:$A$65,2)</f>
        <v>1</v>
      </c>
      <c r="N8" s="14">
        <f>COUNTIFS(ข้อมูลดิบ!$C$2:$C$65,$K8,ข้อมูลดิบ!$A$2:$A$65,3)+COUNTIFS(ข้อมูลดิบ!$D$2:$D$65,$K8,ข้อมูลดิบ!$A$2:$A$65,3)</f>
        <v>1</v>
      </c>
      <c r="O8" s="14">
        <f>COUNTIFS(ข้อมูลดิบ!$C$2:$C$65,$K8,ข้อมูลดิบ!$A$2:$A$65,4)+COUNTIFS(ข้อมูลดิบ!$D$2:$D$65,$K8,ข้อมูลดิบ!$A$2:$A$65,4)</f>
        <v>1</v>
      </c>
      <c r="P8" s="14">
        <f>COUNTIFS(ข้อมูลดิบ!$C$2:$C$65,$K8,ข้อมูลดิบ!$A$2:$A$65,5)+COUNTIFS(ข้อมูลดิบ!$D$2:$D$65,$K8,ข้อมูลดิบ!$A$2:$A$65,5)</f>
        <v>1</v>
      </c>
      <c r="Q8" s="14">
        <f>COUNTIFS(ข้อมูลดิบ!$C$2:$C$65,$K8,ข้อมูลดิบ!$A$2:$A$65,6)+COUNTIFS(ข้อมูลดิบ!$D$2:$D$65,$K8,ข้อมูลดิบ!$A$2:$A$65,6)</f>
        <v>1</v>
      </c>
      <c r="R8" s="14">
        <f>COUNTIFS(ข้อมูลดิบ!$C$2:$C$65,$K8,ข้อมูลดิบ!$A$2:$A$65,7)+COUNTIFS(ข้อมูลดิบ!$D$2:$D$65,$K8,ข้อมูลดิบ!$A$2:$A$65,7)</f>
        <v>1</v>
      </c>
      <c r="S8" s="14">
        <f>COUNTIFS(ข้อมูลดิบ!$C$2:$C$65,$K8,ข้อมูลดิบ!$A$2:$A$65,8)+COUNTIFS(ข้อมูลดิบ!$D$2:$D$65,$K8,ข้อมูลดิบ!$A$2:$A$65,8)</f>
        <v>1</v>
      </c>
    </row>
    <row r="9" spans="1:19" x14ac:dyDescent="0.2">
      <c r="A9" s="13" t="s">
        <v>122</v>
      </c>
      <c r="B9" s="14">
        <f>COUNTIFS(ข้อมูลดิบ!$C$2:$C$65,$A9,ข้อมูลดิบ!$B$2:$B$65,1)+COUNTIFS(ข้อมูลดิบ!$D$2:$D$65,$A9,ข้อมูลดิบ!$B$2:$B$65,1)</f>
        <v>1</v>
      </c>
      <c r="C9" s="14">
        <f>COUNTIFS(ข้อมูลดิบ!$C$2:$C$65,$A9,ข้อมูลดิบ!$B$2:$B$65,2)+COUNTIFS(ข้อมูลดิบ!$D$2:$D$65,$A9,ข้อมูลดิบ!$B$2:$B$65,2)</f>
        <v>1</v>
      </c>
      <c r="D9" s="14">
        <f>COUNTIFS(ข้อมูลดิบ!$C$2:$C$65,$A9,ข้อมูลดิบ!$B$2:$B$65,3)+COUNTIFS(ข้อมูลดิบ!$D$2:$D$65,$A9,ข้อมูลดิบ!$B$2:$B$65,3)</f>
        <v>1</v>
      </c>
      <c r="E9" s="14">
        <f>COUNTIFS(ข้อมูลดิบ!$C$2:$C$65,$A9,ข้อมูลดิบ!$B$2:$B$65,4)+COUNTIFS(ข้อมูลดิบ!$D$2:$D$65,$A9,ข้อมูลดิบ!$B$2:$B$65,4)</f>
        <v>1</v>
      </c>
      <c r="F9" s="14">
        <f>COUNTIFS(ข้อมูลดิบ!$C$2:$C$65,$A9,ข้อมูลดิบ!$B$2:$B$65,5)+COUNTIFS(ข้อมูลดิบ!$D$2:$D$65,$A9,ข้อมูลดิบ!$B$2:$B$65,5)</f>
        <v>1</v>
      </c>
      <c r="G9" s="14">
        <f>COUNTIFS(ข้อมูลดิบ!$C$2:$C$65,$A9,ข้อมูลดิบ!$B$2:$B$65,6)+COUNTIFS(ข้อมูลดิบ!$D$2:$D$65,$A9,ข้อมูลดิบ!$B$2:$B$65,6)</f>
        <v>1</v>
      </c>
      <c r="H9" s="14">
        <f>COUNTIFS(ข้อมูลดิบ!$C$2:$C$65,$A9,ข้อมูลดิบ!$B$2:$B$65,7)+COUNTIFS(ข้อมูลดิบ!$D$2:$D$65,$A9,ข้อมูลดิบ!$B$2:$B$65,7)</f>
        <v>1</v>
      </c>
      <c r="I9" s="14">
        <f>COUNTIFS(ข้อมูลดิบ!$C$2:$C$65,$A9,ข้อมูลดิบ!$B$2:$B$65,8)+COUNTIFS(ข้อมูลดิบ!$D$2:$D$65,$A9,ข้อมูลดิบ!$B$2:$B$65,8)</f>
        <v>1</v>
      </c>
      <c r="K9" s="13" t="s">
        <v>122</v>
      </c>
      <c r="L9" s="14">
        <f>COUNTIFS(ข้อมูลดิบ!$C$2:$C$65,$K9,ข้อมูลดิบ!$A$2:$A$65,1)+COUNTIFS(ข้อมูลดิบ!$D$2:$D$65,$K9,ข้อมูลดิบ!$A$2:$A$65,1)</f>
        <v>1</v>
      </c>
      <c r="M9" s="14">
        <f>COUNTIFS(ข้อมูลดิบ!$C$2:$C$65,$K9,ข้อมูลดิบ!$A$2:$A$65,2)+COUNTIFS(ข้อมูลดิบ!$D$2:$D$65,$K9,ข้อมูลดิบ!$A$2:$A$65,2)</f>
        <v>1</v>
      </c>
      <c r="N9" s="14">
        <f>COUNTIFS(ข้อมูลดิบ!$C$2:$C$65,$K9,ข้อมูลดิบ!$A$2:$A$65,3)+COUNTIFS(ข้อมูลดิบ!$D$2:$D$65,$K9,ข้อมูลดิบ!$A$2:$A$65,3)</f>
        <v>1</v>
      </c>
      <c r="O9" s="14">
        <f>COUNTIFS(ข้อมูลดิบ!$C$2:$C$65,$K9,ข้อมูลดิบ!$A$2:$A$65,4)+COUNTIFS(ข้อมูลดิบ!$D$2:$D$65,$K9,ข้อมูลดิบ!$A$2:$A$65,4)</f>
        <v>1</v>
      </c>
      <c r="P9" s="14">
        <f>COUNTIFS(ข้อมูลดิบ!$C$2:$C$65,$K9,ข้อมูลดิบ!$A$2:$A$65,5)+COUNTIFS(ข้อมูลดิบ!$D$2:$D$65,$K9,ข้อมูลดิบ!$A$2:$A$65,5)</f>
        <v>1</v>
      </c>
      <c r="Q9" s="14">
        <f>COUNTIFS(ข้อมูลดิบ!$C$2:$C$65,$K9,ข้อมูลดิบ!$A$2:$A$65,6)+COUNTIFS(ข้อมูลดิบ!$D$2:$D$65,$K9,ข้อมูลดิบ!$A$2:$A$65,6)</f>
        <v>1</v>
      </c>
      <c r="R9" s="14">
        <f>COUNTIFS(ข้อมูลดิบ!$C$2:$C$65,$K9,ข้อมูลดิบ!$A$2:$A$65,7)+COUNTIFS(ข้อมูลดิบ!$D$2:$D$65,$K9,ข้อมูลดิบ!$A$2:$A$65,7)</f>
        <v>1</v>
      </c>
      <c r="S9" s="14">
        <f>COUNTIFS(ข้อมูลดิบ!$C$2:$C$65,$K9,ข้อมูลดิบ!$A$2:$A$65,8)+COUNTIFS(ข้อมูลดิบ!$D$2:$D$65,$K9,ข้อมูลดิบ!$A$2:$A$65,8)</f>
        <v>1</v>
      </c>
    </row>
    <row r="10" spans="1:19" x14ac:dyDescent="0.2">
      <c r="A10" s="13" t="s">
        <v>131</v>
      </c>
      <c r="B10" s="14">
        <f>COUNTIFS(ข้อมูลดิบ!$C$2:$C$65,$A10,ข้อมูลดิบ!$B$2:$B$65,1)+COUNTIFS(ข้อมูลดิบ!$D$2:$D$65,$A10,ข้อมูลดิบ!$B$2:$B$65,1)</f>
        <v>1</v>
      </c>
      <c r="C10" s="14">
        <f>COUNTIFS(ข้อมูลดิบ!$C$2:$C$65,$A10,ข้อมูลดิบ!$B$2:$B$65,2)+COUNTIFS(ข้อมูลดิบ!$D$2:$D$65,$A10,ข้อมูลดิบ!$B$2:$B$65,2)</f>
        <v>1</v>
      </c>
      <c r="D10" s="14">
        <f>COUNTIFS(ข้อมูลดิบ!$C$2:$C$65,$A10,ข้อมูลดิบ!$B$2:$B$65,3)+COUNTIFS(ข้อมูลดิบ!$D$2:$D$65,$A10,ข้อมูลดิบ!$B$2:$B$65,3)</f>
        <v>1</v>
      </c>
      <c r="E10" s="14">
        <f>COUNTIFS(ข้อมูลดิบ!$C$2:$C$65,$A10,ข้อมูลดิบ!$B$2:$B$65,4)+COUNTIFS(ข้อมูลดิบ!$D$2:$D$65,$A10,ข้อมูลดิบ!$B$2:$B$65,4)</f>
        <v>1</v>
      </c>
      <c r="F10" s="14">
        <f>COUNTIFS(ข้อมูลดิบ!$C$2:$C$65,$A10,ข้อมูลดิบ!$B$2:$B$65,5)+COUNTIFS(ข้อมูลดิบ!$D$2:$D$65,$A10,ข้อมูลดิบ!$B$2:$B$65,5)</f>
        <v>1</v>
      </c>
      <c r="G10" s="14">
        <f>COUNTIFS(ข้อมูลดิบ!$C$2:$C$65,$A10,ข้อมูลดิบ!$B$2:$B$65,6)+COUNTIFS(ข้อมูลดิบ!$D$2:$D$65,$A10,ข้อมูลดิบ!$B$2:$B$65,6)</f>
        <v>1</v>
      </c>
      <c r="H10" s="14">
        <f>COUNTIFS(ข้อมูลดิบ!$C$2:$C$65,$A10,ข้อมูลดิบ!$B$2:$B$65,7)+COUNTIFS(ข้อมูลดิบ!$D$2:$D$65,$A10,ข้อมูลดิบ!$B$2:$B$65,7)</f>
        <v>1</v>
      </c>
      <c r="I10" s="14">
        <f>COUNTIFS(ข้อมูลดิบ!$C$2:$C$65,$A10,ข้อมูลดิบ!$B$2:$B$65,8)+COUNTIFS(ข้อมูลดิบ!$D$2:$D$65,$A10,ข้อมูลดิบ!$B$2:$B$65,8)</f>
        <v>1</v>
      </c>
      <c r="K10" s="13" t="s">
        <v>131</v>
      </c>
      <c r="L10" s="14">
        <f>COUNTIFS(ข้อมูลดิบ!$C$2:$C$65,$K10,ข้อมูลดิบ!$A$2:$A$65,1)+COUNTIFS(ข้อมูลดิบ!$D$2:$D$65,$K10,ข้อมูลดิบ!$A$2:$A$65,1)</f>
        <v>1</v>
      </c>
      <c r="M10" s="14">
        <f>COUNTIFS(ข้อมูลดิบ!$C$2:$C$65,$K10,ข้อมูลดิบ!$A$2:$A$65,2)+COUNTIFS(ข้อมูลดิบ!$D$2:$D$65,$K10,ข้อมูลดิบ!$A$2:$A$65,2)</f>
        <v>1</v>
      </c>
      <c r="N10" s="14">
        <f>COUNTIFS(ข้อมูลดิบ!$C$2:$C$65,$K10,ข้อมูลดิบ!$A$2:$A$65,3)+COUNTIFS(ข้อมูลดิบ!$D$2:$D$65,$K10,ข้อมูลดิบ!$A$2:$A$65,3)</f>
        <v>1</v>
      </c>
      <c r="O10" s="14">
        <f>COUNTIFS(ข้อมูลดิบ!$C$2:$C$65,$K10,ข้อมูลดิบ!$A$2:$A$65,4)+COUNTIFS(ข้อมูลดิบ!$D$2:$D$65,$K10,ข้อมูลดิบ!$A$2:$A$65,4)</f>
        <v>1</v>
      </c>
      <c r="P10" s="14">
        <f>COUNTIFS(ข้อมูลดิบ!$C$2:$C$65,$K10,ข้อมูลดิบ!$A$2:$A$65,5)+COUNTIFS(ข้อมูลดิบ!$D$2:$D$65,$K10,ข้อมูลดิบ!$A$2:$A$65,5)</f>
        <v>1</v>
      </c>
      <c r="Q10" s="14">
        <f>COUNTIFS(ข้อมูลดิบ!$C$2:$C$65,$K10,ข้อมูลดิบ!$A$2:$A$65,6)+COUNTIFS(ข้อมูลดิบ!$D$2:$D$65,$K10,ข้อมูลดิบ!$A$2:$A$65,6)</f>
        <v>1</v>
      </c>
      <c r="R10" s="14">
        <f>COUNTIFS(ข้อมูลดิบ!$C$2:$C$65,$K10,ข้อมูลดิบ!$A$2:$A$65,7)+COUNTIFS(ข้อมูลดิบ!$D$2:$D$65,$K10,ข้อมูลดิบ!$A$2:$A$65,7)</f>
        <v>1</v>
      </c>
      <c r="S10" s="14">
        <f>COUNTIFS(ข้อมูลดิบ!$C$2:$C$65,$K10,ข้อมูลดิบ!$A$2:$A$65,8)+COUNTIFS(ข้อมูลดิบ!$D$2:$D$65,$K10,ข้อมูลดิบ!$A$2:$A$65,8)</f>
        <v>1</v>
      </c>
    </row>
    <row r="11" spans="1:19" x14ac:dyDescent="0.2">
      <c r="A11" s="13" t="s">
        <v>140</v>
      </c>
      <c r="B11" s="14">
        <f>COUNTIFS(ข้อมูลดิบ!$C$2:$C$65,$A11,ข้อมูลดิบ!$B$2:$B$65,1)+COUNTIFS(ข้อมูลดิบ!$D$2:$D$65,$A11,ข้อมูลดิบ!$B$2:$B$65,1)</f>
        <v>1</v>
      </c>
      <c r="C11" s="14">
        <f>COUNTIFS(ข้อมูลดิบ!$C$2:$C$65,$A11,ข้อมูลดิบ!$B$2:$B$65,2)+COUNTIFS(ข้อมูลดิบ!$D$2:$D$65,$A11,ข้อมูลดิบ!$B$2:$B$65,2)</f>
        <v>1</v>
      </c>
      <c r="D11" s="14">
        <f>COUNTIFS(ข้อมูลดิบ!$C$2:$C$65,$A11,ข้อมูลดิบ!$B$2:$B$65,3)+COUNTIFS(ข้อมูลดิบ!$D$2:$D$65,$A11,ข้อมูลดิบ!$B$2:$B$65,3)</f>
        <v>1</v>
      </c>
      <c r="E11" s="14">
        <f>COUNTIFS(ข้อมูลดิบ!$C$2:$C$65,$A11,ข้อมูลดิบ!$B$2:$B$65,4)+COUNTIFS(ข้อมูลดิบ!$D$2:$D$65,$A11,ข้อมูลดิบ!$B$2:$B$65,4)</f>
        <v>1</v>
      </c>
      <c r="F11" s="14">
        <f>COUNTIFS(ข้อมูลดิบ!$C$2:$C$65,$A11,ข้อมูลดิบ!$B$2:$B$65,5)+COUNTIFS(ข้อมูลดิบ!$D$2:$D$65,$A11,ข้อมูลดิบ!$B$2:$B$65,5)</f>
        <v>1</v>
      </c>
      <c r="G11" s="14">
        <f>COUNTIFS(ข้อมูลดิบ!$C$2:$C$65,$A11,ข้อมูลดิบ!$B$2:$B$65,6)+COUNTIFS(ข้อมูลดิบ!$D$2:$D$65,$A11,ข้อมูลดิบ!$B$2:$B$65,6)</f>
        <v>1</v>
      </c>
      <c r="H11" s="14">
        <f>COUNTIFS(ข้อมูลดิบ!$C$2:$C$65,$A11,ข้อมูลดิบ!$B$2:$B$65,7)+COUNTIFS(ข้อมูลดิบ!$D$2:$D$65,$A11,ข้อมูลดิบ!$B$2:$B$65,7)</f>
        <v>1</v>
      </c>
      <c r="I11" s="14">
        <f>COUNTIFS(ข้อมูลดิบ!$C$2:$C$65,$A11,ข้อมูลดิบ!$B$2:$B$65,8)+COUNTIFS(ข้อมูลดิบ!$D$2:$D$65,$A11,ข้อมูลดิบ!$B$2:$B$65,8)</f>
        <v>1</v>
      </c>
      <c r="K11" s="13" t="s">
        <v>140</v>
      </c>
      <c r="L11" s="14">
        <f>COUNTIFS(ข้อมูลดิบ!$C$2:$C$65,$K11,ข้อมูลดิบ!$A$2:$A$65,1)+COUNTIFS(ข้อมูลดิบ!$D$2:$D$65,$K11,ข้อมูลดิบ!$A$2:$A$65,1)</f>
        <v>1</v>
      </c>
      <c r="M11" s="14">
        <f>COUNTIFS(ข้อมูลดิบ!$C$2:$C$65,$K11,ข้อมูลดิบ!$A$2:$A$65,2)+COUNTIFS(ข้อมูลดิบ!$D$2:$D$65,$K11,ข้อมูลดิบ!$A$2:$A$65,2)</f>
        <v>1</v>
      </c>
      <c r="N11" s="14">
        <f>COUNTIFS(ข้อมูลดิบ!$C$2:$C$65,$K11,ข้อมูลดิบ!$A$2:$A$65,3)+COUNTIFS(ข้อมูลดิบ!$D$2:$D$65,$K11,ข้อมูลดิบ!$A$2:$A$65,3)</f>
        <v>1</v>
      </c>
      <c r="O11" s="14">
        <f>COUNTIFS(ข้อมูลดิบ!$C$2:$C$65,$K11,ข้อมูลดิบ!$A$2:$A$65,4)+COUNTIFS(ข้อมูลดิบ!$D$2:$D$65,$K11,ข้อมูลดิบ!$A$2:$A$65,4)</f>
        <v>1</v>
      </c>
      <c r="P11" s="14">
        <f>COUNTIFS(ข้อมูลดิบ!$C$2:$C$65,$K11,ข้อมูลดิบ!$A$2:$A$65,5)+COUNTIFS(ข้อมูลดิบ!$D$2:$D$65,$K11,ข้อมูลดิบ!$A$2:$A$65,5)</f>
        <v>1</v>
      </c>
      <c r="Q11" s="14">
        <f>COUNTIFS(ข้อมูลดิบ!$C$2:$C$65,$K11,ข้อมูลดิบ!$A$2:$A$65,6)+COUNTIFS(ข้อมูลดิบ!$D$2:$D$65,$K11,ข้อมูลดิบ!$A$2:$A$65,6)</f>
        <v>1</v>
      </c>
      <c r="R11" s="14">
        <f>COUNTIFS(ข้อมูลดิบ!$C$2:$C$65,$K11,ข้อมูลดิบ!$A$2:$A$65,7)+COUNTIFS(ข้อมูลดิบ!$D$2:$D$65,$K11,ข้อมูลดิบ!$A$2:$A$65,7)</f>
        <v>1</v>
      </c>
      <c r="S11" s="14">
        <f>COUNTIFS(ข้อมูลดิบ!$C$2:$C$65,$K11,ข้อมูลดิบ!$A$2:$A$65,8)+COUNTIFS(ข้อมูลดิบ!$D$2:$D$65,$K11,ข้อมูลดิบ!$A$2:$A$65,8)</f>
        <v>1</v>
      </c>
    </row>
    <row r="12" spans="1:19" x14ac:dyDescent="0.2">
      <c r="A12" s="13" t="s">
        <v>149</v>
      </c>
      <c r="B12" s="14">
        <f>COUNTIFS(ข้อมูลดิบ!$C$2:$C$65,$A12,ข้อมูลดิบ!$B$2:$B$65,1)+COUNTIFS(ข้อมูลดิบ!$D$2:$D$65,$A12,ข้อมูลดิบ!$B$2:$B$65,1)</f>
        <v>1</v>
      </c>
      <c r="C12" s="14">
        <f>COUNTIFS(ข้อมูลดิบ!$C$2:$C$65,$A12,ข้อมูลดิบ!$B$2:$B$65,2)+COUNTIFS(ข้อมูลดิบ!$D$2:$D$65,$A12,ข้อมูลดิบ!$B$2:$B$65,2)</f>
        <v>1</v>
      </c>
      <c r="D12" s="14">
        <f>COUNTIFS(ข้อมูลดิบ!$C$2:$C$65,$A12,ข้อมูลดิบ!$B$2:$B$65,3)+COUNTIFS(ข้อมูลดิบ!$D$2:$D$65,$A12,ข้อมูลดิบ!$B$2:$B$65,3)</f>
        <v>1</v>
      </c>
      <c r="E12" s="14">
        <f>COUNTIFS(ข้อมูลดิบ!$C$2:$C$65,$A12,ข้อมูลดิบ!$B$2:$B$65,4)+COUNTIFS(ข้อมูลดิบ!$D$2:$D$65,$A12,ข้อมูลดิบ!$B$2:$B$65,4)</f>
        <v>1</v>
      </c>
      <c r="F12" s="14">
        <f>COUNTIFS(ข้อมูลดิบ!$C$2:$C$65,$A12,ข้อมูลดิบ!$B$2:$B$65,5)+COUNTIFS(ข้อมูลดิบ!$D$2:$D$65,$A12,ข้อมูลดิบ!$B$2:$B$65,5)</f>
        <v>1</v>
      </c>
      <c r="G12" s="14">
        <f>COUNTIFS(ข้อมูลดิบ!$C$2:$C$65,$A12,ข้อมูลดิบ!$B$2:$B$65,6)+COUNTIFS(ข้อมูลดิบ!$D$2:$D$65,$A12,ข้อมูลดิบ!$B$2:$B$65,6)</f>
        <v>1</v>
      </c>
      <c r="H12" s="14">
        <f>COUNTIFS(ข้อมูลดิบ!$C$2:$C$65,$A12,ข้อมูลดิบ!$B$2:$B$65,7)+COUNTIFS(ข้อมูลดิบ!$D$2:$D$65,$A12,ข้อมูลดิบ!$B$2:$B$65,7)</f>
        <v>1</v>
      </c>
      <c r="I12" s="14">
        <f>COUNTIFS(ข้อมูลดิบ!$C$2:$C$65,$A12,ข้อมูลดิบ!$B$2:$B$65,8)+COUNTIFS(ข้อมูลดิบ!$D$2:$D$65,$A12,ข้อมูลดิบ!$B$2:$B$65,8)</f>
        <v>1</v>
      </c>
      <c r="K12" s="13" t="s">
        <v>149</v>
      </c>
      <c r="L12" s="14">
        <f>COUNTIFS(ข้อมูลดิบ!$C$2:$C$65,$K12,ข้อมูลดิบ!$A$2:$A$65,1)+COUNTIFS(ข้อมูลดิบ!$D$2:$D$65,$K12,ข้อมูลดิบ!$A$2:$A$65,1)</f>
        <v>1</v>
      </c>
      <c r="M12" s="14">
        <f>COUNTIFS(ข้อมูลดิบ!$C$2:$C$65,$K12,ข้อมูลดิบ!$A$2:$A$65,2)+COUNTIFS(ข้อมูลดิบ!$D$2:$D$65,$K12,ข้อมูลดิบ!$A$2:$A$65,2)</f>
        <v>1</v>
      </c>
      <c r="N12" s="14">
        <f>COUNTIFS(ข้อมูลดิบ!$C$2:$C$65,$K12,ข้อมูลดิบ!$A$2:$A$65,3)+COUNTIFS(ข้อมูลดิบ!$D$2:$D$65,$K12,ข้อมูลดิบ!$A$2:$A$65,3)</f>
        <v>1</v>
      </c>
      <c r="O12" s="14">
        <f>COUNTIFS(ข้อมูลดิบ!$C$2:$C$65,$K12,ข้อมูลดิบ!$A$2:$A$65,4)+COUNTIFS(ข้อมูลดิบ!$D$2:$D$65,$K12,ข้อมูลดิบ!$A$2:$A$65,4)</f>
        <v>1</v>
      </c>
      <c r="P12" s="14">
        <f>COUNTIFS(ข้อมูลดิบ!$C$2:$C$65,$K12,ข้อมูลดิบ!$A$2:$A$65,5)+COUNTIFS(ข้อมูลดิบ!$D$2:$D$65,$K12,ข้อมูลดิบ!$A$2:$A$65,5)</f>
        <v>1</v>
      </c>
      <c r="Q12" s="14">
        <f>COUNTIFS(ข้อมูลดิบ!$C$2:$C$65,$K12,ข้อมูลดิบ!$A$2:$A$65,6)+COUNTIFS(ข้อมูลดิบ!$D$2:$D$65,$K12,ข้อมูลดิบ!$A$2:$A$65,6)</f>
        <v>1</v>
      </c>
      <c r="R12" s="14">
        <f>COUNTIFS(ข้อมูลดิบ!$C$2:$C$65,$K12,ข้อมูลดิบ!$A$2:$A$65,7)+COUNTIFS(ข้อมูลดิบ!$D$2:$D$65,$K12,ข้อมูลดิบ!$A$2:$A$65,7)</f>
        <v>1</v>
      </c>
      <c r="S12" s="14">
        <f>COUNTIFS(ข้อมูลดิบ!$C$2:$C$65,$K12,ข้อมูลดิบ!$A$2:$A$65,8)+COUNTIFS(ข้อมูลดิบ!$D$2:$D$65,$K12,ข้อมูลดิบ!$A$2:$A$65,8)</f>
        <v>1</v>
      </c>
    </row>
    <row r="13" spans="1:19" x14ac:dyDescent="0.2">
      <c r="A13" s="13" t="s">
        <v>158</v>
      </c>
      <c r="B13" s="14">
        <f>COUNTIFS(ข้อมูลดิบ!$C$2:$C$65,$A13,ข้อมูลดิบ!$B$2:$B$65,1)+COUNTIFS(ข้อมูลดิบ!$D$2:$D$65,$A13,ข้อมูลดิบ!$B$2:$B$65,1)</f>
        <v>1</v>
      </c>
      <c r="C13" s="14">
        <f>COUNTIFS(ข้อมูลดิบ!$C$2:$C$65,$A13,ข้อมูลดิบ!$B$2:$B$65,2)+COUNTIFS(ข้อมูลดิบ!$D$2:$D$65,$A13,ข้อมูลดิบ!$B$2:$B$65,2)</f>
        <v>1</v>
      </c>
      <c r="D13" s="14">
        <f>COUNTIFS(ข้อมูลดิบ!$C$2:$C$65,$A13,ข้อมูลดิบ!$B$2:$B$65,3)+COUNTIFS(ข้อมูลดิบ!$D$2:$D$65,$A13,ข้อมูลดิบ!$B$2:$B$65,3)</f>
        <v>1</v>
      </c>
      <c r="E13" s="14">
        <f>COUNTIFS(ข้อมูลดิบ!$C$2:$C$65,$A13,ข้อมูลดิบ!$B$2:$B$65,4)+COUNTIFS(ข้อมูลดิบ!$D$2:$D$65,$A13,ข้อมูลดิบ!$B$2:$B$65,4)</f>
        <v>1</v>
      </c>
      <c r="F13" s="14">
        <f>COUNTIFS(ข้อมูลดิบ!$C$2:$C$65,$A13,ข้อมูลดิบ!$B$2:$B$65,5)+COUNTIFS(ข้อมูลดิบ!$D$2:$D$65,$A13,ข้อมูลดิบ!$B$2:$B$65,5)</f>
        <v>1</v>
      </c>
      <c r="G13" s="14">
        <f>COUNTIFS(ข้อมูลดิบ!$C$2:$C$65,$A13,ข้อมูลดิบ!$B$2:$B$65,6)+COUNTIFS(ข้อมูลดิบ!$D$2:$D$65,$A13,ข้อมูลดิบ!$B$2:$B$65,6)</f>
        <v>1</v>
      </c>
      <c r="H13" s="14">
        <f>COUNTIFS(ข้อมูลดิบ!$C$2:$C$65,$A13,ข้อมูลดิบ!$B$2:$B$65,7)+COUNTIFS(ข้อมูลดิบ!$D$2:$D$65,$A13,ข้อมูลดิบ!$B$2:$B$65,7)</f>
        <v>1</v>
      </c>
      <c r="I13" s="14">
        <f>COUNTIFS(ข้อมูลดิบ!$C$2:$C$65,$A13,ข้อมูลดิบ!$B$2:$B$65,8)+COUNTIFS(ข้อมูลดิบ!$D$2:$D$65,$A13,ข้อมูลดิบ!$B$2:$B$65,8)</f>
        <v>1</v>
      </c>
      <c r="K13" s="13" t="s">
        <v>158</v>
      </c>
      <c r="L13" s="14">
        <f>COUNTIFS(ข้อมูลดิบ!$C$2:$C$65,$K13,ข้อมูลดิบ!$A$2:$A$65,1)+COUNTIFS(ข้อมูลดิบ!$D$2:$D$65,$K13,ข้อมูลดิบ!$A$2:$A$65,1)</f>
        <v>1</v>
      </c>
      <c r="M13" s="14">
        <f>COUNTIFS(ข้อมูลดิบ!$C$2:$C$65,$K13,ข้อมูลดิบ!$A$2:$A$65,2)+COUNTIFS(ข้อมูลดิบ!$D$2:$D$65,$K13,ข้อมูลดิบ!$A$2:$A$65,2)</f>
        <v>1</v>
      </c>
      <c r="N13" s="14">
        <f>COUNTIFS(ข้อมูลดิบ!$C$2:$C$65,$K13,ข้อมูลดิบ!$A$2:$A$65,3)+COUNTIFS(ข้อมูลดิบ!$D$2:$D$65,$K13,ข้อมูลดิบ!$A$2:$A$65,3)</f>
        <v>1</v>
      </c>
      <c r="O13" s="14">
        <f>COUNTIFS(ข้อมูลดิบ!$C$2:$C$65,$K13,ข้อมูลดิบ!$A$2:$A$65,4)+COUNTIFS(ข้อมูลดิบ!$D$2:$D$65,$K13,ข้อมูลดิบ!$A$2:$A$65,4)</f>
        <v>1</v>
      </c>
      <c r="P13" s="14">
        <f>COUNTIFS(ข้อมูลดิบ!$C$2:$C$65,$K13,ข้อมูลดิบ!$A$2:$A$65,5)+COUNTIFS(ข้อมูลดิบ!$D$2:$D$65,$K13,ข้อมูลดิบ!$A$2:$A$65,5)</f>
        <v>1</v>
      </c>
      <c r="Q13" s="14">
        <f>COUNTIFS(ข้อมูลดิบ!$C$2:$C$65,$K13,ข้อมูลดิบ!$A$2:$A$65,6)+COUNTIFS(ข้อมูลดิบ!$D$2:$D$65,$K13,ข้อมูลดิบ!$A$2:$A$65,6)</f>
        <v>1</v>
      </c>
      <c r="R13" s="14">
        <f>COUNTIFS(ข้อมูลดิบ!$C$2:$C$65,$K13,ข้อมูลดิบ!$A$2:$A$65,7)+COUNTIFS(ข้อมูลดิบ!$D$2:$D$65,$K13,ข้อมูลดิบ!$A$2:$A$65,7)</f>
        <v>1</v>
      </c>
      <c r="S13" s="14">
        <f>COUNTIFS(ข้อมูลดิบ!$C$2:$C$65,$K13,ข้อมูลดิบ!$A$2:$A$65,8)+COUNTIFS(ข้อมูลดิบ!$D$2:$D$65,$K13,ข้อมูลดิบ!$A$2:$A$65,8)</f>
        <v>1</v>
      </c>
    </row>
    <row r="14" spans="1:19" x14ac:dyDescent="0.2">
      <c r="A14" s="13" t="s">
        <v>167</v>
      </c>
      <c r="B14" s="14">
        <f>COUNTIFS(ข้อมูลดิบ!$C$2:$C$65,$A14,ข้อมูลดิบ!$B$2:$B$65,1)+COUNTIFS(ข้อมูลดิบ!$D$2:$D$65,$A14,ข้อมูลดิบ!$B$2:$B$65,1)</f>
        <v>1</v>
      </c>
      <c r="C14" s="14">
        <f>COUNTIFS(ข้อมูลดิบ!$C$2:$C$65,$A14,ข้อมูลดิบ!$B$2:$B$65,2)+COUNTIFS(ข้อมูลดิบ!$D$2:$D$65,$A14,ข้อมูลดิบ!$B$2:$B$65,2)</f>
        <v>1</v>
      </c>
      <c r="D14" s="14">
        <f>COUNTIFS(ข้อมูลดิบ!$C$2:$C$65,$A14,ข้อมูลดิบ!$B$2:$B$65,3)+COUNTIFS(ข้อมูลดิบ!$D$2:$D$65,$A14,ข้อมูลดิบ!$B$2:$B$65,3)</f>
        <v>1</v>
      </c>
      <c r="E14" s="14">
        <f>COUNTIFS(ข้อมูลดิบ!$C$2:$C$65,$A14,ข้อมูลดิบ!$B$2:$B$65,4)+COUNTIFS(ข้อมูลดิบ!$D$2:$D$65,$A14,ข้อมูลดิบ!$B$2:$B$65,4)</f>
        <v>1</v>
      </c>
      <c r="F14" s="14">
        <f>COUNTIFS(ข้อมูลดิบ!$C$2:$C$65,$A14,ข้อมูลดิบ!$B$2:$B$65,5)+COUNTIFS(ข้อมูลดิบ!$D$2:$D$65,$A14,ข้อมูลดิบ!$B$2:$B$65,5)</f>
        <v>1</v>
      </c>
      <c r="G14" s="14">
        <f>COUNTIFS(ข้อมูลดิบ!$C$2:$C$65,$A14,ข้อมูลดิบ!$B$2:$B$65,6)+COUNTIFS(ข้อมูลดิบ!$D$2:$D$65,$A14,ข้อมูลดิบ!$B$2:$B$65,6)</f>
        <v>1</v>
      </c>
      <c r="H14" s="14">
        <f>COUNTIFS(ข้อมูลดิบ!$C$2:$C$65,$A14,ข้อมูลดิบ!$B$2:$B$65,7)+COUNTIFS(ข้อมูลดิบ!$D$2:$D$65,$A14,ข้อมูลดิบ!$B$2:$B$65,7)</f>
        <v>1</v>
      </c>
      <c r="I14" s="14">
        <f>COUNTIFS(ข้อมูลดิบ!$C$2:$C$65,$A14,ข้อมูลดิบ!$B$2:$B$65,8)+COUNTIFS(ข้อมูลดิบ!$D$2:$D$65,$A14,ข้อมูลดิบ!$B$2:$B$65,8)</f>
        <v>1</v>
      </c>
      <c r="K14" s="13" t="s">
        <v>167</v>
      </c>
      <c r="L14" s="14">
        <f>COUNTIFS(ข้อมูลดิบ!$C$2:$C$65,$K14,ข้อมูลดิบ!$A$2:$A$65,1)+COUNTIFS(ข้อมูลดิบ!$D$2:$D$65,$K14,ข้อมูลดิบ!$A$2:$A$65,1)</f>
        <v>1</v>
      </c>
      <c r="M14" s="14">
        <f>COUNTIFS(ข้อมูลดิบ!$C$2:$C$65,$K14,ข้อมูลดิบ!$A$2:$A$65,2)+COUNTIFS(ข้อมูลดิบ!$D$2:$D$65,$K14,ข้อมูลดิบ!$A$2:$A$65,2)</f>
        <v>1</v>
      </c>
      <c r="N14" s="14">
        <f>COUNTIFS(ข้อมูลดิบ!$C$2:$C$65,$K14,ข้อมูลดิบ!$A$2:$A$65,3)+COUNTIFS(ข้อมูลดิบ!$D$2:$D$65,$K14,ข้อมูลดิบ!$A$2:$A$65,3)</f>
        <v>1</v>
      </c>
      <c r="O14" s="14">
        <f>COUNTIFS(ข้อมูลดิบ!$C$2:$C$65,$K14,ข้อมูลดิบ!$A$2:$A$65,4)+COUNTIFS(ข้อมูลดิบ!$D$2:$D$65,$K14,ข้อมูลดิบ!$A$2:$A$65,4)</f>
        <v>1</v>
      </c>
      <c r="P14" s="14">
        <f>COUNTIFS(ข้อมูลดิบ!$C$2:$C$65,$K14,ข้อมูลดิบ!$A$2:$A$65,5)+COUNTIFS(ข้อมูลดิบ!$D$2:$D$65,$K14,ข้อมูลดิบ!$A$2:$A$65,5)</f>
        <v>1</v>
      </c>
      <c r="Q14" s="14">
        <f>COUNTIFS(ข้อมูลดิบ!$C$2:$C$65,$K14,ข้อมูลดิบ!$A$2:$A$65,6)+COUNTIFS(ข้อมูลดิบ!$D$2:$D$65,$K14,ข้อมูลดิบ!$A$2:$A$65,6)</f>
        <v>1</v>
      </c>
      <c r="R14" s="14">
        <f>COUNTIFS(ข้อมูลดิบ!$C$2:$C$65,$K14,ข้อมูลดิบ!$A$2:$A$65,7)+COUNTIFS(ข้อมูลดิบ!$D$2:$D$65,$K14,ข้อมูลดิบ!$A$2:$A$65,7)</f>
        <v>1</v>
      </c>
      <c r="S14" s="14">
        <f>COUNTIFS(ข้อมูลดิบ!$C$2:$C$65,$K14,ข้อมูลดิบ!$A$2:$A$65,8)+COUNTIFS(ข้อมูลดิบ!$D$2:$D$65,$K14,ข้อมูลดิบ!$A$2:$A$65,8)</f>
        <v>1</v>
      </c>
    </row>
    <row r="15" spans="1:19" x14ac:dyDescent="0.2">
      <c r="A15" s="13" t="s">
        <v>176</v>
      </c>
      <c r="B15" s="14">
        <f>COUNTIFS(ข้อมูลดิบ!$C$2:$C$65,$A15,ข้อมูลดิบ!$B$2:$B$65,1)+COUNTIFS(ข้อมูลดิบ!$D$2:$D$65,$A15,ข้อมูลดิบ!$B$2:$B$65,1)</f>
        <v>1</v>
      </c>
      <c r="C15" s="14">
        <f>COUNTIFS(ข้อมูลดิบ!$C$2:$C$65,$A15,ข้อมูลดิบ!$B$2:$B$65,2)+COUNTIFS(ข้อมูลดิบ!$D$2:$D$65,$A15,ข้อมูลดิบ!$B$2:$B$65,2)</f>
        <v>1</v>
      </c>
      <c r="D15" s="14">
        <f>COUNTIFS(ข้อมูลดิบ!$C$2:$C$65,$A15,ข้อมูลดิบ!$B$2:$B$65,3)+COUNTIFS(ข้อมูลดิบ!$D$2:$D$65,$A15,ข้อมูลดิบ!$B$2:$B$65,3)</f>
        <v>1</v>
      </c>
      <c r="E15" s="14">
        <f>COUNTIFS(ข้อมูลดิบ!$C$2:$C$65,$A15,ข้อมูลดิบ!$B$2:$B$65,4)+COUNTIFS(ข้อมูลดิบ!$D$2:$D$65,$A15,ข้อมูลดิบ!$B$2:$B$65,4)</f>
        <v>1</v>
      </c>
      <c r="F15" s="14">
        <f>COUNTIFS(ข้อมูลดิบ!$C$2:$C$65,$A15,ข้อมูลดิบ!$B$2:$B$65,5)+COUNTIFS(ข้อมูลดิบ!$D$2:$D$65,$A15,ข้อมูลดิบ!$B$2:$B$65,5)</f>
        <v>1</v>
      </c>
      <c r="G15" s="14">
        <f>COUNTIFS(ข้อมูลดิบ!$C$2:$C$65,$A15,ข้อมูลดิบ!$B$2:$B$65,6)+COUNTIFS(ข้อมูลดิบ!$D$2:$D$65,$A15,ข้อมูลดิบ!$B$2:$B$65,6)</f>
        <v>1</v>
      </c>
      <c r="H15" s="14">
        <f>COUNTIFS(ข้อมูลดิบ!$C$2:$C$65,$A15,ข้อมูลดิบ!$B$2:$B$65,7)+COUNTIFS(ข้อมูลดิบ!$D$2:$D$65,$A15,ข้อมูลดิบ!$B$2:$B$65,7)</f>
        <v>1</v>
      </c>
      <c r="I15" s="14">
        <f>COUNTIFS(ข้อมูลดิบ!$C$2:$C$65,$A15,ข้อมูลดิบ!$B$2:$B$65,8)+COUNTIFS(ข้อมูลดิบ!$D$2:$D$65,$A15,ข้อมูลดิบ!$B$2:$B$65,8)</f>
        <v>1</v>
      </c>
      <c r="K15" s="13" t="s">
        <v>176</v>
      </c>
      <c r="L15" s="14">
        <f>COUNTIFS(ข้อมูลดิบ!$C$2:$C$65,$K15,ข้อมูลดิบ!$A$2:$A$65,1)+COUNTIFS(ข้อมูลดิบ!$D$2:$D$65,$K15,ข้อมูลดิบ!$A$2:$A$65,1)</f>
        <v>1</v>
      </c>
      <c r="M15" s="14">
        <f>COUNTIFS(ข้อมูลดิบ!$C$2:$C$65,$K15,ข้อมูลดิบ!$A$2:$A$65,2)+COUNTIFS(ข้อมูลดิบ!$D$2:$D$65,$K15,ข้อมูลดิบ!$A$2:$A$65,2)</f>
        <v>1</v>
      </c>
      <c r="N15" s="14">
        <f>COUNTIFS(ข้อมูลดิบ!$C$2:$C$65,$K15,ข้อมูลดิบ!$A$2:$A$65,3)+COUNTIFS(ข้อมูลดิบ!$D$2:$D$65,$K15,ข้อมูลดิบ!$A$2:$A$65,3)</f>
        <v>1</v>
      </c>
      <c r="O15" s="14">
        <f>COUNTIFS(ข้อมูลดิบ!$C$2:$C$65,$K15,ข้อมูลดิบ!$A$2:$A$65,4)+COUNTIFS(ข้อมูลดิบ!$D$2:$D$65,$K15,ข้อมูลดิบ!$A$2:$A$65,4)</f>
        <v>1</v>
      </c>
      <c r="P15" s="14">
        <f>COUNTIFS(ข้อมูลดิบ!$C$2:$C$65,$K15,ข้อมูลดิบ!$A$2:$A$65,5)+COUNTIFS(ข้อมูลดิบ!$D$2:$D$65,$K15,ข้อมูลดิบ!$A$2:$A$65,5)</f>
        <v>1</v>
      </c>
      <c r="Q15" s="14">
        <f>COUNTIFS(ข้อมูลดิบ!$C$2:$C$65,$K15,ข้อมูลดิบ!$A$2:$A$65,6)+COUNTIFS(ข้อมูลดิบ!$D$2:$D$65,$K15,ข้อมูลดิบ!$A$2:$A$65,6)</f>
        <v>1</v>
      </c>
      <c r="R15" s="14">
        <f>COUNTIFS(ข้อมูลดิบ!$C$2:$C$65,$K15,ข้อมูลดิบ!$A$2:$A$65,7)+COUNTIFS(ข้อมูลดิบ!$D$2:$D$65,$K15,ข้อมูลดิบ!$A$2:$A$65,7)</f>
        <v>1</v>
      </c>
      <c r="S15" s="14">
        <f>COUNTIFS(ข้อมูลดิบ!$C$2:$C$65,$K15,ข้อมูลดิบ!$A$2:$A$65,8)+COUNTIFS(ข้อมูลดิบ!$D$2:$D$65,$K15,ข้อมูลดิบ!$A$2:$A$65,8)</f>
        <v>1</v>
      </c>
    </row>
    <row r="16" spans="1:19" x14ac:dyDescent="0.2">
      <c r="A16" s="13" t="s">
        <v>185</v>
      </c>
      <c r="B16" s="14">
        <f>COUNTIFS(ข้อมูลดิบ!$C$2:$C$65,$A16,ข้อมูลดิบ!$B$2:$B$65,1)+COUNTIFS(ข้อมูลดิบ!$D$2:$D$65,$A16,ข้อมูลดิบ!$B$2:$B$65,1)</f>
        <v>1</v>
      </c>
      <c r="C16" s="14">
        <f>COUNTIFS(ข้อมูลดิบ!$C$2:$C$65,$A16,ข้อมูลดิบ!$B$2:$B$65,2)+COUNTIFS(ข้อมูลดิบ!$D$2:$D$65,$A16,ข้อมูลดิบ!$B$2:$B$65,2)</f>
        <v>1</v>
      </c>
      <c r="D16" s="14">
        <f>COUNTIFS(ข้อมูลดิบ!$C$2:$C$65,$A16,ข้อมูลดิบ!$B$2:$B$65,3)+COUNTIFS(ข้อมูลดิบ!$D$2:$D$65,$A16,ข้อมูลดิบ!$B$2:$B$65,3)</f>
        <v>1</v>
      </c>
      <c r="E16" s="14">
        <f>COUNTIFS(ข้อมูลดิบ!$C$2:$C$65,$A16,ข้อมูลดิบ!$B$2:$B$65,4)+COUNTIFS(ข้อมูลดิบ!$D$2:$D$65,$A16,ข้อมูลดิบ!$B$2:$B$65,4)</f>
        <v>1</v>
      </c>
      <c r="F16" s="14">
        <f>COUNTIFS(ข้อมูลดิบ!$C$2:$C$65,$A16,ข้อมูลดิบ!$B$2:$B$65,5)+COUNTIFS(ข้อมูลดิบ!$D$2:$D$65,$A16,ข้อมูลดิบ!$B$2:$B$65,5)</f>
        <v>1</v>
      </c>
      <c r="G16" s="14">
        <f>COUNTIFS(ข้อมูลดิบ!$C$2:$C$65,$A16,ข้อมูลดิบ!$B$2:$B$65,6)+COUNTIFS(ข้อมูลดิบ!$D$2:$D$65,$A16,ข้อมูลดิบ!$B$2:$B$65,6)</f>
        <v>1</v>
      </c>
      <c r="H16" s="14">
        <f>COUNTIFS(ข้อมูลดิบ!$C$2:$C$65,$A16,ข้อมูลดิบ!$B$2:$B$65,7)+COUNTIFS(ข้อมูลดิบ!$D$2:$D$65,$A16,ข้อมูลดิบ!$B$2:$B$65,7)</f>
        <v>1</v>
      </c>
      <c r="I16" s="14">
        <f>COUNTIFS(ข้อมูลดิบ!$C$2:$C$65,$A16,ข้อมูลดิบ!$B$2:$B$65,8)+COUNTIFS(ข้อมูลดิบ!$D$2:$D$65,$A16,ข้อมูลดิบ!$B$2:$B$65,8)</f>
        <v>1</v>
      </c>
      <c r="K16" s="13" t="s">
        <v>185</v>
      </c>
      <c r="L16" s="14">
        <f>COUNTIFS(ข้อมูลดิบ!$C$2:$C$65,$K16,ข้อมูลดิบ!$A$2:$A$65,1)+COUNTIFS(ข้อมูลดิบ!$D$2:$D$65,$K16,ข้อมูลดิบ!$A$2:$A$65,1)</f>
        <v>1</v>
      </c>
      <c r="M16" s="14">
        <f>COUNTIFS(ข้อมูลดิบ!$C$2:$C$65,$K16,ข้อมูลดิบ!$A$2:$A$65,2)+COUNTIFS(ข้อมูลดิบ!$D$2:$D$65,$K16,ข้อมูลดิบ!$A$2:$A$65,2)</f>
        <v>1</v>
      </c>
      <c r="N16" s="14">
        <f>COUNTIFS(ข้อมูลดิบ!$C$2:$C$65,$K16,ข้อมูลดิบ!$A$2:$A$65,3)+COUNTIFS(ข้อมูลดิบ!$D$2:$D$65,$K16,ข้อมูลดิบ!$A$2:$A$65,3)</f>
        <v>1</v>
      </c>
      <c r="O16" s="14">
        <f>COUNTIFS(ข้อมูลดิบ!$C$2:$C$65,$K16,ข้อมูลดิบ!$A$2:$A$65,4)+COUNTIFS(ข้อมูลดิบ!$D$2:$D$65,$K16,ข้อมูลดิบ!$A$2:$A$65,4)</f>
        <v>1</v>
      </c>
      <c r="P16" s="14">
        <f>COUNTIFS(ข้อมูลดิบ!$C$2:$C$65,$K16,ข้อมูลดิบ!$A$2:$A$65,5)+COUNTIFS(ข้อมูลดิบ!$D$2:$D$65,$K16,ข้อมูลดิบ!$A$2:$A$65,5)</f>
        <v>1</v>
      </c>
      <c r="Q16" s="14">
        <f>COUNTIFS(ข้อมูลดิบ!$C$2:$C$65,$K16,ข้อมูลดิบ!$A$2:$A$65,6)+COUNTIFS(ข้อมูลดิบ!$D$2:$D$65,$K16,ข้อมูลดิบ!$A$2:$A$65,6)</f>
        <v>1</v>
      </c>
      <c r="R16" s="14">
        <f>COUNTIFS(ข้อมูลดิบ!$C$2:$C$65,$K16,ข้อมูลดิบ!$A$2:$A$65,7)+COUNTIFS(ข้อมูลดิบ!$D$2:$D$65,$K16,ข้อมูลดิบ!$A$2:$A$65,7)</f>
        <v>1</v>
      </c>
      <c r="S16" s="14">
        <f>COUNTIFS(ข้อมูลดิบ!$C$2:$C$65,$K16,ข้อมูลดิบ!$A$2:$A$65,8)+COUNTIFS(ข้อมูลดิบ!$D$2:$D$65,$K16,ข้อมูลดิบ!$A$2:$A$65,8)</f>
        <v>1</v>
      </c>
    </row>
    <row r="17" spans="1:19" x14ac:dyDescent="0.2">
      <c r="A17" s="13" t="s">
        <v>194</v>
      </c>
      <c r="B17" s="14">
        <f>COUNTIFS(ข้อมูลดิบ!$C$2:$C$65,$A17,ข้อมูลดิบ!$B$2:$B$65,1)+COUNTIFS(ข้อมูลดิบ!$D$2:$D$65,$A17,ข้อมูลดิบ!$B$2:$B$65,1)</f>
        <v>1</v>
      </c>
      <c r="C17" s="14">
        <f>COUNTIFS(ข้อมูลดิบ!$C$2:$C$65,$A17,ข้อมูลดิบ!$B$2:$B$65,2)+COUNTIFS(ข้อมูลดิบ!$D$2:$D$65,$A17,ข้อมูลดิบ!$B$2:$B$65,2)</f>
        <v>1</v>
      </c>
      <c r="D17" s="14">
        <f>COUNTIFS(ข้อมูลดิบ!$C$2:$C$65,$A17,ข้อมูลดิบ!$B$2:$B$65,3)+COUNTIFS(ข้อมูลดิบ!$D$2:$D$65,$A17,ข้อมูลดิบ!$B$2:$B$65,3)</f>
        <v>1</v>
      </c>
      <c r="E17" s="14">
        <f>COUNTIFS(ข้อมูลดิบ!$C$2:$C$65,$A17,ข้อมูลดิบ!$B$2:$B$65,4)+COUNTIFS(ข้อมูลดิบ!$D$2:$D$65,$A17,ข้อมูลดิบ!$B$2:$B$65,4)</f>
        <v>1</v>
      </c>
      <c r="F17" s="14">
        <f>COUNTIFS(ข้อมูลดิบ!$C$2:$C$65,$A17,ข้อมูลดิบ!$B$2:$B$65,5)+COUNTIFS(ข้อมูลดิบ!$D$2:$D$65,$A17,ข้อมูลดิบ!$B$2:$B$65,5)</f>
        <v>1</v>
      </c>
      <c r="G17" s="14">
        <f>COUNTIFS(ข้อมูลดิบ!$C$2:$C$65,$A17,ข้อมูลดิบ!$B$2:$B$65,6)+COUNTIFS(ข้อมูลดิบ!$D$2:$D$65,$A17,ข้อมูลดิบ!$B$2:$B$65,6)</f>
        <v>1</v>
      </c>
      <c r="H17" s="14">
        <f>COUNTIFS(ข้อมูลดิบ!$C$2:$C$65,$A17,ข้อมูลดิบ!$B$2:$B$65,7)+COUNTIFS(ข้อมูลดิบ!$D$2:$D$65,$A17,ข้อมูลดิบ!$B$2:$B$65,7)</f>
        <v>1</v>
      </c>
      <c r="I17" s="14">
        <f>COUNTIFS(ข้อมูลดิบ!$C$2:$C$65,$A17,ข้อมูลดิบ!$B$2:$B$65,8)+COUNTIFS(ข้อมูลดิบ!$D$2:$D$65,$A17,ข้อมูลดิบ!$B$2:$B$65,8)</f>
        <v>1</v>
      </c>
      <c r="K17" s="13" t="s">
        <v>194</v>
      </c>
      <c r="L17" s="14">
        <f>COUNTIFS(ข้อมูลดิบ!$C$2:$C$65,$K17,ข้อมูลดิบ!$A$2:$A$65,1)+COUNTIFS(ข้อมูลดิบ!$D$2:$D$65,$K17,ข้อมูลดิบ!$A$2:$A$65,1)</f>
        <v>1</v>
      </c>
      <c r="M17" s="14">
        <f>COUNTIFS(ข้อมูลดิบ!$C$2:$C$65,$K17,ข้อมูลดิบ!$A$2:$A$65,2)+COUNTIFS(ข้อมูลดิบ!$D$2:$D$65,$K17,ข้อมูลดิบ!$A$2:$A$65,2)</f>
        <v>1</v>
      </c>
      <c r="N17" s="14">
        <f>COUNTIFS(ข้อมูลดิบ!$C$2:$C$65,$K17,ข้อมูลดิบ!$A$2:$A$65,3)+COUNTIFS(ข้อมูลดิบ!$D$2:$D$65,$K17,ข้อมูลดิบ!$A$2:$A$65,3)</f>
        <v>1</v>
      </c>
      <c r="O17" s="14">
        <f>COUNTIFS(ข้อมูลดิบ!$C$2:$C$65,$K17,ข้อมูลดิบ!$A$2:$A$65,4)+COUNTIFS(ข้อมูลดิบ!$D$2:$D$65,$K17,ข้อมูลดิบ!$A$2:$A$65,4)</f>
        <v>1</v>
      </c>
      <c r="P17" s="14">
        <f>COUNTIFS(ข้อมูลดิบ!$C$2:$C$65,$K17,ข้อมูลดิบ!$A$2:$A$65,5)+COUNTIFS(ข้อมูลดิบ!$D$2:$D$65,$K17,ข้อมูลดิบ!$A$2:$A$65,5)</f>
        <v>1</v>
      </c>
      <c r="Q17" s="14">
        <f>COUNTIFS(ข้อมูลดิบ!$C$2:$C$65,$K17,ข้อมูลดิบ!$A$2:$A$65,6)+COUNTIFS(ข้อมูลดิบ!$D$2:$D$65,$K17,ข้อมูลดิบ!$A$2:$A$65,6)</f>
        <v>1</v>
      </c>
      <c r="R17" s="14">
        <f>COUNTIFS(ข้อมูลดิบ!$C$2:$C$65,$K17,ข้อมูลดิบ!$A$2:$A$65,7)+COUNTIFS(ข้อมูลดิบ!$D$2:$D$65,$K17,ข้อมูลดิบ!$A$2:$A$65,7)</f>
        <v>1</v>
      </c>
      <c r="S17" s="14">
        <f>COUNTIFS(ข้อมูลดิบ!$C$2:$C$65,$K17,ข้อมูลดิบ!$A$2:$A$65,8)+COUNTIFS(ข้อมูลดิบ!$D$2:$D$65,$K17,ข้อมูลดิบ!$A$2:$A$65,8)</f>
        <v>1</v>
      </c>
    </row>
    <row r="18" spans="1:19" x14ac:dyDescent="0.2">
      <c r="A18" s="13" t="s">
        <v>203</v>
      </c>
      <c r="B18" s="14">
        <f>COUNTIFS(ข้อมูลดิบ!$C$2:$C$65,$A18,ข้อมูลดิบ!$B$2:$B$65,1)+COUNTIFS(ข้อมูลดิบ!$D$2:$D$65,$A18,ข้อมูลดิบ!$B$2:$B$65,1)</f>
        <v>1</v>
      </c>
      <c r="C18" s="14">
        <f>COUNTIFS(ข้อมูลดิบ!$C$2:$C$65,$A18,ข้อมูลดิบ!$B$2:$B$65,2)+COUNTIFS(ข้อมูลดิบ!$D$2:$D$65,$A18,ข้อมูลดิบ!$B$2:$B$65,2)</f>
        <v>1</v>
      </c>
      <c r="D18" s="14">
        <f>COUNTIFS(ข้อมูลดิบ!$C$2:$C$65,$A18,ข้อมูลดิบ!$B$2:$B$65,3)+COUNTIFS(ข้อมูลดิบ!$D$2:$D$65,$A18,ข้อมูลดิบ!$B$2:$B$65,3)</f>
        <v>1</v>
      </c>
      <c r="E18" s="14">
        <f>COUNTIFS(ข้อมูลดิบ!$C$2:$C$65,$A18,ข้อมูลดิบ!$B$2:$B$65,4)+COUNTIFS(ข้อมูลดิบ!$D$2:$D$65,$A18,ข้อมูลดิบ!$B$2:$B$65,4)</f>
        <v>1</v>
      </c>
      <c r="F18" s="14">
        <f>COUNTIFS(ข้อมูลดิบ!$C$2:$C$65,$A18,ข้อมูลดิบ!$B$2:$B$65,5)+COUNTIFS(ข้อมูลดิบ!$D$2:$D$65,$A18,ข้อมูลดิบ!$B$2:$B$65,5)</f>
        <v>1</v>
      </c>
      <c r="G18" s="14">
        <f>COUNTIFS(ข้อมูลดิบ!$C$2:$C$65,$A18,ข้อมูลดิบ!$B$2:$B$65,6)+COUNTIFS(ข้อมูลดิบ!$D$2:$D$65,$A18,ข้อมูลดิบ!$B$2:$B$65,6)</f>
        <v>1</v>
      </c>
      <c r="H18" s="14">
        <f>COUNTIFS(ข้อมูลดิบ!$C$2:$C$65,$A18,ข้อมูลดิบ!$B$2:$B$65,7)+COUNTIFS(ข้อมูลดิบ!$D$2:$D$65,$A18,ข้อมูลดิบ!$B$2:$B$65,7)</f>
        <v>1</v>
      </c>
      <c r="I18" s="14">
        <f>COUNTIFS(ข้อมูลดิบ!$C$2:$C$65,$A18,ข้อมูลดิบ!$B$2:$B$65,8)+COUNTIFS(ข้อมูลดิบ!$D$2:$D$65,$A18,ข้อมูลดิบ!$B$2:$B$65,8)</f>
        <v>1</v>
      </c>
      <c r="K18" s="13" t="s">
        <v>203</v>
      </c>
      <c r="L18" s="14">
        <f>COUNTIFS(ข้อมูลดิบ!$C$2:$C$65,$K18,ข้อมูลดิบ!$A$2:$A$65,1)+COUNTIFS(ข้อมูลดิบ!$D$2:$D$65,$K18,ข้อมูลดิบ!$A$2:$A$65,1)</f>
        <v>1</v>
      </c>
      <c r="M18" s="14">
        <f>COUNTIFS(ข้อมูลดิบ!$C$2:$C$65,$K18,ข้อมูลดิบ!$A$2:$A$65,2)+COUNTIFS(ข้อมูลดิบ!$D$2:$D$65,$K18,ข้อมูลดิบ!$A$2:$A$65,2)</f>
        <v>1</v>
      </c>
      <c r="N18" s="14">
        <f>COUNTIFS(ข้อมูลดิบ!$C$2:$C$65,$K18,ข้อมูลดิบ!$A$2:$A$65,3)+COUNTIFS(ข้อมูลดิบ!$D$2:$D$65,$K18,ข้อมูลดิบ!$A$2:$A$65,3)</f>
        <v>1</v>
      </c>
      <c r="O18" s="14">
        <f>COUNTIFS(ข้อมูลดิบ!$C$2:$C$65,$K18,ข้อมูลดิบ!$A$2:$A$65,4)+COUNTIFS(ข้อมูลดิบ!$D$2:$D$65,$K18,ข้อมูลดิบ!$A$2:$A$65,4)</f>
        <v>1</v>
      </c>
      <c r="P18" s="14">
        <f>COUNTIFS(ข้อมูลดิบ!$C$2:$C$65,$K18,ข้อมูลดิบ!$A$2:$A$65,5)+COUNTIFS(ข้อมูลดิบ!$D$2:$D$65,$K18,ข้อมูลดิบ!$A$2:$A$65,5)</f>
        <v>1</v>
      </c>
      <c r="Q18" s="14">
        <f>COUNTIFS(ข้อมูลดิบ!$C$2:$C$65,$K18,ข้อมูลดิบ!$A$2:$A$65,6)+COUNTIFS(ข้อมูลดิบ!$D$2:$D$65,$K18,ข้อมูลดิบ!$A$2:$A$65,6)</f>
        <v>1</v>
      </c>
      <c r="R18" s="14">
        <f>COUNTIFS(ข้อมูลดิบ!$C$2:$C$65,$K18,ข้อมูลดิบ!$A$2:$A$65,7)+COUNTIFS(ข้อมูลดิบ!$D$2:$D$65,$K18,ข้อมูลดิบ!$A$2:$A$65,7)</f>
        <v>1</v>
      </c>
      <c r="S18" s="14">
        <f>COUNTIFS(ข้อมูลดิบ!$C$2:$C$65,$K18,ข้อมูลดิบ!$A$2:$A$65,8)+COUNTIFS(ข้อมูลดิบ!$D$2:$D$65,$K18,ข้อมูลดิบ!$A$2:$A$65,8)</f>
        <v>1</v>
      </c>
    </row>
    <row r="19" spans="1:19" x14ac:dyDescent="0.2">
      <c r="A19" s="13" t="s">
        <v>212</v>
      </c>
      <c r="B19" s="14">
        <f>COUNTIFS(ข้อมูลดิบ!$C$2:$C$65,$A19,ข้อมูลดิบ!$B$2:$B$65,1)+COUNTIFS(ข้อมูลดิบ!$D$2:$D$65,$A19,ข้อมูลดิบ!$B$2:$B$65,1)</f>
        <v>1</v>
      </c>
      <c r="C19" s="14">
        <f>COUNTIFS(ข้อมูลดิบ!$C$2:$C$65,$A19,ข้อมูลดิบ!$B$2:$B$65,2)+COUNTIFS(ข้อมูลดิบ!$D$2:$D$65,$A19,ข้อมูลดิบ!$B$2:$B$65,2)</f>
        <v>1</v>
      </c>
      <c r="D19" s="14">
        <f>COUNTIFS(ข้อมูลดิบ!$C$2:$C$65,$A19,ข้อมูลดิบ!$B$2:$B$65,3)+COUNTIFS(ข้อมูลดิบ!$D$2:$D$65,$A19,ข้อมูลดิบ!$B$2:$B$65,3)</f>
        <v>1</v>
      </c>
      <c r="E19" s="14">
        <f>COUNTIFS(ข้อมูลดิบ!$C$2:$C$65,$A19,ข้อมูลดิบ!$B$2:$B$65,4)+COUNTIFS(ข้อมูลดิบ!$D$2:$D$65,$A19,ข้อมูลดิบ!$B$2:$B$65,4)</f>
        <v>1</v>
      </c>
      <c r="F19" s="14">
        <f>COUNTIFS(ข้อมูลดิบ!$C$2:$C$65,$A19,ข้อมูลดิบ!$B$2:$B$65,5)+COUNTIFS(ข้อมูลดิบ!$D$2:$D$65,$A19,ข้อมูลดิบ!$B$2:$B$65,5)</f>
        <v>1</v>
      </c>
      <c r="G19" s="14">
        <f>COUNTIFS(ข้อมูลดิบ!$C$2:$C$65,$A19,ข้อมูลดิบ!$B$2:$B$65,6)+COUNTIFS(ข้อมูลดิบ!$D$2:$D$65,$A19,ข้อมูลดิบ!$B$2:$B$65,6)</f>
        <v>1</v>
      </c>
      <c r="H19" s="14">
        <f>COUNTIFS(ข้อมูลดิบ!$C$2:$C$65,$A19,ข้อมูลดิบ!$B$2:$B$65,7)+COUNTIFS(ข้อมูลดิบ!$D$2:$D$65,$A19,ข้อมูลดิบ!$B$2:$B$65,7)</f>
        <v>1</v>
      </c>
      <c r="I19" s="14">
        <f>COUNTIFS(ข้อมูลดิบ!$C$2:$C$65,$A19,ข้อมูลดิบ!$B$2:$B$65,8)+COUNTIFS(ข้อมูลดิบ!$D$2:$D$65,$A19,ข้อมูลดิบ!$B$2:$B$65,8)</f>
        <v>1</v>
      </c>
      <c r="K19" s="13" t="s">
        <v>212</v>
      </c>
      <c r="L19" s="14">
        <f>COUNTIFS(ข้อมูลดิบ!$C$2:$C$65,$K19,ข้อมูลดิบ!$A$2:$A$65,1)+COUNTIFS(ข้อมูลดิบ!$D$2:$D$65,$K19,ข้อมูลดิบ!$A$2:$A$65,1)</f>
        <v>1</v>
      </c>
      <c r="M19" s="14">
        <f>COUNTIFS(ข้อมูลดิบ!$C$2:$C$65,$K19,ข้อมูลดิบ!$A$2:$A$65,2)+COUNTIFS(ข้อมูลดิบ!$D$2:$D$65,$K19,ข้อมูลดิบ!$A$2:$A$65,2)</f>
        <v>1</v>
      </c>
      <c r="N19" s="14">
        <f>COUNTIFS(ข้อมูลดิบ!$C$2:$C$65,$K19,ข้อมูลดิบ!$A$2:$A$65,3)+COUNTIFS(ข้อมูลดิบ!$D$2:$D$65,$K19,ข้อมูลดิบ!$A$2:$A$65,3)</f>
        <v>1</v>
      </c>
      <c r="O19" s="14">
        <f>COUNTIFS(ข้อมูลดิบ!$C$2:$C$65,$K19,ข้อมูลดิบ!$A$2:$A$65,4)+COUNTIFS(ข้อมูลดิบ!$D$2:$D$65,$K19,ข้อมูลดิบ!$A$2:$A$65,4)</f>
        <v>1</v>
      </c>
      <c r="P19" s="14">
        <f>COUNTIFS(ข้อมูลดิบ!$C$2:$C$65,$K19,ข้อมูลดิบ!$A$2:$A$65,5)+COUNTIFS(ข้อมูลดิบ!$D$2:$D$65,$K19,ข้อมูลดิบ!$A$2:$A$65,5)</f>
        <v>1</v>
      </c>
      <c r="Q19" s="14">
        <f>COUNTIFS(ข้อมูลดิบ!$C$2:$C$65,$K19,ข้อมูลดิบ!$A$2:$A$65,6)+COUNTIFS(ข้อมูลดิบ!$D$2:$D$65,$K19,ข้อมูลดิบ!$A$2:$A$65,6)</f>
        <v>1</v>
      </c>
      <c r="R19" s="14">
        <f>COUNTIFS(ข้อมูลดิบ!$C$2:$C$65,$K19,ข้อมูลดิบ!$A$2:$A$65,7)+COUNTIFS(ข้อมูลดิบ!$D$2:$D$65,$K19,ข้อมูลดิบ!$A$2:$A$65,7)</f>
        <v>1</v>
      </c>
      <c r="S19" s="14">
        <f>COUNTIFS(ข้อมูลดิบ!$C$2:$C$65,$K19,ข้อมูลดิบ!$A$2:$A$65,8)+COUNTIFS(ข้อมูลดิบ!$D$2:$D$65,$K19,ข้อมูลดิบ!$A$2:$A$65,8)</f>
        <v>1</v>
      </c>
    </row>
    <row r="20" spans="1:19" x14ac:dyDescent="0.2">
      <c r="A20" s="13" t="s">
        <v>221</v>
      </c>
      <c r="B20" s="14">
        <f>COUNTIFS(ข้อมูลดิบ!$C$2:$C$65,$A20,ข้อมูลดิบ!$B$2:$B$65,1)+COUNTIFS(ข้อมูลดิบ!$D$2:$D$65,$A20,ข้อมูลดิบ!$B$2:$B$65,1)</f>
        <v>1</v>
      </c>
      <c r="C20" s="14">
        <f>COUNTIFS(ข้อมูลดิบ!$C$2:$C$65,$A20,ข้อมูลดิบ!$B$2:$B$65,2)+COUNTIFS(ข้อมูลดิบ!$D$2:$D$65,$A20,ข้อมูลดิบ!$B$2:$B$65,2)</f>
        <v>1</v>
      </c>
      <c r="D20" s="14">
        <f>COUNTIFS(ข้อมูลดิบ!$C$2:$C$65,$A20,ข้อมูลดิบ!$B$2:$B$65,3)+COUNTIFS(ข้อมูลดิบ!$D$2:$D$65,$A20,ข้อมูลดิบ!$B$2:$B$65,3)</f>
        <v>1</v>
      </c>
      <c r="E20" s="14">
        <f>COUNTIFS(ข้อมูลดิบ!$C$2:$C$65,$A20,ข้อมูลดิบ!$B$2:$B$65,4)+COUNTIFS(ข้อมูลดิบ!$D$2:$D$65,$A20,ข้อมูลดิบ!$B$2:$B$65,4)</f>
        <v>1</v>
      </c>
      <c r="F20" s="14">
        <f>COUNTIFS(ข้อมูลดิบ!$C$2:$C$65,$A20,ข้อมูลดิบ!$B$2:$B$65,5)+COUNTIFS(ข้อมูลดิบ!$D$2:$D$65,$A20,ข้อมูลดิบ!$B$2:$B$65,5)</f>
        <v>1</v>
      </c>
      <c r="G20" s="14">
        <f>COUNTIFS(ข้อมูลดิบ!$C$2:$C$65,$A20,ข้อมูลดิบ!$B$2:$B$65,6)+COUNTIFS(ข้อมูลดิบ!$D$2:$D$65,$A20,ข้อมูลดิบ!$B$2:$B$65,6)</f>
        <v>1</v>
      </c>
      <c r="H20" s="14">
        <f>COUNTIFS(ข้อมูลดิบ!$C$2:$C$65,$A20,ข้อมูลดิบ!$B$2:$B$65,7)+COUNTIFS(ข้อมูลดิบ!$D$2:$D$65,$A20,ข้อมูลดิบ!$B$2:$B$65,7)</f>
        <v>1</v>
      </c>
      <c r="I20" s="14">
        <f>COUNTIFS(ข้อมูลดิบ!$C$2:$C$65,$A20,ข้อมูลดิบ!$B$2:$B$65,8)+COUNTIFS(ข้อมูลดิบ!$D$2:$D$65,$A20,ข้อมูลดิบ!$B$2:$B$65,8)</f>
        <v>1</v>
      </c>
      <c r="K20" s="13" t="s">
        <v>221</v>
      </c>
      <c r="L20" s="14">
        <f>COUNTIFS(ข้อมูลดิบ!$C$2:$C$65,$K20,ข้อมูลดิบ!$A$2:$A$65,1)+COUNTIFS(ข้อมูลดิบ!$D$2:$D$65,$K20,ข้อมูลดิบ!$A$2:$A$65,1)</f>
        <v>1</v>
      </c>
      <c r="M20" s="14">
        <f>COUNTIFS(ข้อมูลดิบ!$C$2:$C$65,$K20,ข้อมูลดิบ!$A$2:$A$65,2)+COUNTIFS(ข้อมูลดิบ!$D$2:$D$65,$K20,ข้อมูลดิบ!$A$2:$A$65,2)</f>
        <v>1</v>
      </c>
      <c r="N20" s="14">
        <f>COUNTIFS(ข้อมูลดิบ!$C$2:$C$65,$K20,ข้อมูลดิบ!$A$2:$A$65,3)+COUNTIFS(ข้อมูลดิบ!$D$2:$D$65,$K20,ข้อมูลดิบ!$A$2:$A$65,3)</f>
        <v>1</v>
      </c>
      <c r="O20" s="14">
        <f>COUNTIFS(ข้อมูลดิบ!$C$2:$C$65,$K20,ข้อมูลดิบ!$A$2:$A$65,4)+COUNTIFS(ข้อมูลดิบ!$D$2:$D$65,$K20,ข้อมูลดิบ!$A$2:$A$65,4)</f>
        <v>1</v>
      </c>
      <c r="P20" s="14">
        <f>COUNTIFS(ข้อมูลดิบ!$C$2:$C$65,$K20,ข้อมูลดิบ!$A$2:$A$65,5)+COUNTIFS(ข้อมูลดิบ!$D$2:$D$65,$K20,ข้อมูลดิบ!$A$2:$A$65,5)</f>
        <v>1</v>
      </c>
      <c r="Q20" s="14">
        <f>COUNTIFS(ข้อมูลดิบ!$C$2:$C$65,$K20,ข้อมูลดิบ!$A$2:$A$65,6)+COUNTIFS(ข้อมูลดิบ!$D$2:$D$65,$K20,ข้อมูลดิบ!$A$2:$A$65,6)</f>
        <v>1</v>
      </c>
      <c r="R20" s="14">
        <f>COUNTIFS(ข้อมูลดิบ!$C$2:$C$65,$K20,ข้อมูลดิบ!$A$2:$A$65,7)+COUNTIFS(ข้อมูลดิบ!$D$2:$D$65,$K20,ข้อมูลดิบ!$A$2:$A$65,7)</f>
        <v>1</v>
      </c>
      <c r="S20" s="14">
        <f>COUNTIFS(ข้อมูลดิบ!$C$2:$C$65,$K20,ข้อมูลดิบ!$A$2:$A$65,8)+COUNTIFS(ข้อมูลดิบ!$D$2:$D$65,$K20,ข้อมูลดิบ!$A$2:$A$65,8)</f>
        <v>1</v>
      </c>
    </row>
    <row r="23" spans="1:19" ht="17" x14ac:dyDescent="0.2">
      <c r="A23" s="15" t="s">
        <v>253</v>
      </c>
    </row>
    <row r="24" spans="1:19" x14ac:dyDescent="0.2">
      <c r="A24" s="16" t="s">
        <v>254</v>
      </c>
      <c r="D24" s="17" t="str">
        <f>IF(SUMPRODUCT(--(B5:I20&lt;&gt;1))=0,"ผ่าน","ไม่ผ่าน")</f>
        <v>ผ่าน</v>
      </c>
    </row>
    <row r="25" spans="1:19" x14ac:dyDescent="0.2">
      <c r="A25" s="16" t="s">
        <v>255</v>
      </c>
      <c r="D25" s="17" t="str">
        <f>IF(SUMPRODUCT(--(L5:S20&lt;&gt;1))=0,"ผ่าน","ไม่ผ่าน")</f>
        <v>ผ่าน</v>
      </c>
    </row>
    <row r="26" spans="1:19" x14ac:dyDescent="0.2">
      <c r="A26" s="16" t="s">
        <v>256</v>
      </c>
      <c r="D26" s="17" t="str">
        <f>IF(SUMPRODUCT(--(COUNTIF(ข้อมูลดิบ!$E$2:$E$65,ข้อมูลดิบ!$E$2:$E$65)&lt;&gt;1))=0,"ผ่าน","ไม่ผ่าน")</f>
        <v>ผ่าน</v>
      </c>
    </row>
    <row r="27" spans="1:19" x14ac:dyDescent="0.2">
      <c r="A27" s="16" t="s">
        <v>257</v>
      </c>
      <c r="D27" s="17" t="str">
        <f>IF(SUM(ข้อมูลดิบ!$F$2:$F$65)=0,"ผ่าน","ไม่ผ่าน")</f>
        <v>ผ่าน</v>
      </c>
    </row>
    <row r="28" spans="1:19" x14ac:dyDescent="0.2">
      <c r="A28" s="16" t="s">
        <v>258</v>
      </c>
      <c r="D28" s="17">
        <f>COUNTA(ข้อมูลดิบ!$C$2:$C$65)</f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ตารางหลัก</vt:lpstr>
      <vt:lpstr>ตารางรายทีม</vt:lpstr>
      <vt:lpstr>ใบคุมประจำฐาน</vt:lpstr>
      <vt:lpstr>ข้อมูลดิบ</vt:lpstr>
      <vt:lpstr>ตรวจสอบเงื่อนไข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เอกชัย หลายศิริกุล</cp:lastModifiedBy>
  <cp:revision>0</cp:revision>
  <dcterms:created xsi:type="dcterms:W3CDTF">2026-08-10T16:15:08Z</dcterms:created>
  <dcterms:modified xsi:type="dcterms:W3CDTF">2026-08-10T16:18:13Z</dcterms:modified>
  <dc:language>en-US</dc:language>
</cp:coreProperties>
</file>